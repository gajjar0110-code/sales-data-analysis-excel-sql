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A34\EXCELCNV\1c19a556-046d-4a57-8ba0-453c0908d58d\"/>
    </mc:Choice>
  </mc:AlternateContent>
  <xr:revisionPtr revIDLastSave="255" documentId="8_{9C8F4FE5-3D2C-4009-9433-17552E04AE10}" xr6:coauthVersionLast="47" xr6:coauthVersionMax="47" xr10:uidLastSave="{9ED43760-652A-4A79-9983-C7511AE74D1E}"/>
  <bookViews>
    <workbookView xWindow="-60" yWindow="-60" windowWidth="15480" windowHeight="11640" xr2:uid="{23E6C801-F2D1-42A7-BB0A-C121E2AB31B0}"/>
  </bookViews>
  <sheets>
    <sheet name="Dashboard" sheetId="4" r:id="rId1"/>
    <sheet name="Interactive Sales Analysis Dash" sheetId="2" r:id="rId2"/>
    <sheet name="Monthly Sales Trend" sheetId="3" r:id="rId3"/>
    <sheet name="Sales_Data" sheetId="1" r:id="rId4"/>
  </sheets>
  <externalReferences>
    <externalReference r:id="rId5"/>
  </externalReferences>
  <definedNames>
    <definedName name="_xlnm._FilterDatabase" localSheetId="3" hidden="1">Sales_Data!$A$1:$Z$2824</definedName>
    <definedName name="Slicer_COUNTRY">#N/A</definedName>
    <definedName name="Slicer_PRODUCTLINE">#N/A</definedName>
    <definedName name="Slicer_YEAR_ID">#N/A</definedName>
  </definedNames>
  <calcPr calcId="191028"/>
  <pivotCaches>
    <pivotCache cacheId="1579" r:id="rId6"/>
    <pivotCache cacheId="1261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<sst xmlns="http://schemas.openxmlformats.org/spreadsheetml/2006/main" count="3857" uniqueCount="645">
  <si>
    <t>Classic Cars</t>
  </si>
  <si>
    <t>USA</t>
  </si>
  <si>
    <t>Total Sales</t>
  </si>
  <si>
    <t>Top ProuductLine</t>
  </si>
  <si>
    <t>Top Country</t>
  </si>
  <si>
    <t>PRODUCTLINE</t>
  </si>
  <si>
    <t>Sum of SALES</t>
  </si>
  <si>
    <t>Motorcycles</t>
  </si>
  <si>
    <t>Planes</t>
  </si>
  <si>
    <t>Ships</t>
  </si>
  <si>
    <t>Trains</t>
  </si>
  <si>
    <t>Trucks and Buses</t>
  </si>
  <si>
    <t>Vintage Cars</t>
  </si>
  <si>
    <t>Grand Total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</si>
  <si>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</si>
  <si>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</si>
  <si>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</si>
  <si>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</si>
  <si>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</si>
  <si>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</si>
  <si>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</si>
  <si>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</si>
  <si>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</si>
  <si>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</si>
  <si>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</si>
  <si>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</si>
  <si>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</si>
  <si>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</si>
  <si>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</si>
  <si>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</si>
  <si>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</si>
  <si>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</si>
  <si>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</si>
  <si>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</si>
  <si>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</si>
  <si>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</si>
  <si>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</si>
  <si>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</si>
  <si>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</si>
  <si>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</si>
  <si>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</si>
  <si>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</si>
  <si>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</si>
  <si>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</si>
  <si>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</si>
  <si>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</si>
  <si>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</si>
  <si>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</si>
  <si>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</si>
  <si>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</si>
  <si>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</si>
  <si>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Blank Row?</t>
  </si>
  <si>
    <t>Shipped</t>
  </si>
  <si>
    <t>S10_1678</t>
  </si>
  <si>
    <t>Land of Toys Inc.</t>
  </si>
  <si>
    <t>897 Long Airport Avenue</t>
  </si>
  <si>
    <t>NYC</t>
  </si>
  <si>
    <t>NY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</si>
  <si>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</si>
  <si>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</si>
  <si>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</si>
  <si>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</si>
  <si>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</si>
  <si>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</si>
  <si>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</si>
  <si>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</si>
  <si>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</si>
  <si>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</si>
  <si>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</si>
  <si>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</si>
  <si>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</si>
  <si>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</si>
  <si>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</si>
  <si>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</si>
  <si>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</si>
  <si>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</si>
  <si>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</si>
  <si>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</si>
  <si>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</si>
  <si>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</si>
  <si>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</si>
  <si>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</si>
  <si>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</si>
  <si>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</si>
  <si>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</si>
  <si>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</si>
  <si>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</si>
  <si>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</si>
  <si>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</si>
  <si>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</si>
  <si>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</si>
  <si>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</si>
  <si>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</si>
  <si>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</si>
  <si>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</si>
  <si>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</si>
  <si>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</si>
  <si>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</si>
  <si>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</si>
  <si>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</si>
  <si>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</si>
  <si>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</si>
  <si>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</si>
  <si>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</si>
  <si>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</si>
  <si>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</si>
  <si>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</si>
  <si>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</si>
  <si>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</si>
  <si>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</si>
  <si>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</si>
  <si>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</si>
  <si>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</si>
  <si>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</si>
  <si>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</si>
  <si>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</si>
  <si>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</si>
  <si>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</si>
  <si>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</si>
  <si>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</si>
  <si>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</si>
  <si>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</si>
  <si>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</si>
  <si>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</si>
  <si>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</si>
  <si>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</si>
  <si>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</si>
  <si>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</si>
  <si>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</si>
  <si>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</si>
  <si>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</si>
  <si>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</si>
  <si>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</si>
  <si>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</si>
  <si>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</si>
  <si>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</si>
  <si>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</si>
  <si>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</si>
  <si>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</si>
  <si>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</si>
  <si>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</si>
  <si>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</si>
  <si>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</si>
  <si>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</si>
  <si>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</si>
  <si>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</si>
  <si>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</si>
  <si>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</si>
  <si>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</si>
  <si>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</si>
  <si>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</si>
  <si>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</si>
  <si>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</si>
  <si>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</si>
  <si>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</si>
  <si>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</si>
  <si>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</si>
  <si>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</si>
  <si>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</si>
  <si>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</si>
  <si>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</si>
  <si>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</si>
  <si>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</si>
  <si>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</si>
  <si>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</si>
  <si>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</si>
  <si>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</si>
  <si>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</si>
  <si>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</si>
  <si>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</si>
  <si>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</si>
  <si>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</si>
  <si>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</si>
  <si>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</si>
  <si>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</si>
  <si>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</si>
  <si>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</si>
  <si>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</si>
  <si>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</si>
  <si>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</si>
  <si>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</si>
  <si>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</si>
  <si>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</si>
  <si>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</si>
  <si>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</si>
  <si>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</si>
  <si>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</si>
  <si>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</si>
  <si>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</si>
  <si>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</si>
  <si>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</si>
  <si>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</si>
  <si>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</si>
  <si>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</si>
  <si>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</si>
  <si>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</si>
  <si>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</si>
  <si>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</si>
  <si>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</si>
  <si>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</si>
  <si>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</si>
  <si>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</si>
  <si>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</si>
  <si>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</si>
  <si>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</si>
  <si>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</si>
  <si>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</si>
  <si>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</si>
  <si>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</si>
  <si>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</si>
  <si>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</si>
  <si>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</si>
  <si>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</si>
  <si>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</si>
  <si>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</si>
  <si>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</si>
  <si>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</si>
  <si>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</si>
  <si>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</si>
  <si>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</si>
  <si>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</si>
  <si>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</si>
  <si>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</si>
  <si>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</si>
  <si>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</si>
  <si>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</si>
  <si>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</si>
  <si>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</si>
  <si>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</si>
  <si>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</si>
  <si>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</si>
  <si>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</si>
  <si>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</si>
  <si>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</si>
  <si>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</si>
  <si>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</si>
  <si>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</si>
  <si>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</si>
  <si>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</si>
  <si>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</si>
  <si>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</si>
  <si>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</si>
  <si>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</si>
  <si>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</si>
  <si>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</si>
  <si>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</si>
  <si>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</si>
  <si>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</si>
  <si>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</si>
  <si>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</si>
  <si>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</si>
  <si>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</si>
  <si>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</si>
  <si>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</si>
  <si>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</si>
  <si>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</si>
  <si>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</si>
  <si>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</si>
  <si>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</si>
  <si>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</si>
  <si>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</si>
  <si>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</si>
  <si>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</si>
  <si>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</si>
  <si>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</si>
  <si>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</si>
  <si>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</si>
  <si>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</si>
  <si>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</si>
  <si>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</si>
  <si>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</si>
  <si>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</si>
  <si>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</si>
  <si>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</si>
  <si>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</si>
  <si>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</si>
  <si>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</si>
  <si>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</si>
  <si>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</si>
  <si>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</si>
  <si>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</si>
  <si>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</si>
  <si>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</si>
  <si>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</si>
  <si>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</si>
  <si>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</si>
  <si>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</si>
  <si>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</si>
  <si>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</si>
  <si>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</si>
  <si>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</si>
  <si>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</si>
  <si>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</si>
  <si>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</si>
  <si>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</si>
  <si>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</si>
  <si>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</si>
  <si>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</si>
  <si>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</si>
  <si>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</si>
  <si>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</si>
  <si>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</si>
  <si>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</si>
  <si>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</si>
  <si>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</si>
  <si>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</si>
  <si>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</si>
  <si>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</si>
  <si>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</si>
  <si>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</si>
  <si>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</si>
  <si>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</si>
  <si>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</si>
  <si>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</si>
  <si>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</si>
  <si>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</si>
  <si>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</si>
  <si>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</si>
  <si>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</si>
  <si>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</si>
  <si>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</si>
  <si>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</si>
  <si>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</si>
  <si>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</si>
  <si>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</si>
  <si>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</si>
  <si>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</si>
  <si>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</si>
  <si>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</si>
  <si>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</si>
  <si>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</si>
  <si>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</si>
  <si>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</si>
  <si>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</si>
  <si>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</si>
  <si>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</si>
  <si>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</si>
  <si>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</si>
  <si>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</si>
  <si>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</si>
  <si>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</si>
  <si>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</si>
  <si>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</si>
  <si>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</si>
  <si>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</si>
  <si>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</si>
  <si>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</si>
  <si>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</si>
  <si>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</si>
  <si>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</si>
  <si>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</si>
  <si>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</si>
  <si>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</si>
  <si>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</si>
  <si>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</si>
  <si>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</si>
  <si>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</si>
  <si>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</si>
  <si>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</si>
  <si>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</si>
  <si>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</si>
  <si>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</si>
  <si>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</si>
  <si>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</si>
  <si>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</si>
  <si>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</si>
  <si>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</si>
  <si>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</si>
  <si>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</si>
  <si>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</si>
  <si>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</si>
  <si>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</si>
  <si>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</si>
  <si>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</si>
  <si>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</si>
  <si>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</si>
  <si>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</si>
  <si>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</si>
  <si>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</si>
  <si>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</si>
  <si>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</si>
  <si>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</si>
  <si>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</si>
  <si>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</si>
  <si>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</si>
  <si>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</si>
  <si>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</si>
  <si>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</si>
  <si>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</si>
  <si>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</si>
  <si>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</si>
  <si>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</si>
  <si>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</si>
  <si>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</si>
  <si>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</si>
  <si>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</si>
  <si>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</si>
  <si>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</si>
  <si>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</si>
  <si>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</si>
  <si>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</si>
  <si>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</si>
  <si>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</si>
  <si>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</si>
  <si>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</si>
  <si>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</si>
  <si>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</si>
  <si>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</si>
  <si>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</si>
  <si>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</si>
  <si>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</si>
  <si>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</si>
  <si>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</si>
  <si>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</si>
  <si>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</si>
  <si>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</si>
  <si>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</si>
  <si>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</si>
  <si>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</si>
  <si>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</si>
  <si>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</si>
  <si>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</si>
  <si>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</si>
  <si>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</si>
  <si>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</si>
  <si>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</si>
  <si>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</si>
  <si>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</si>
  <si>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</si>
  <si>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</si>
  <si>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</si>
  <si>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</si>
  <si>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</si>
  <si>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</si>
  <si>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</si>
  <si>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</si>
  <si>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</si>
  <si>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</si>
  <si>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</si>
  <si>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</si>
  <si>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</si>
  <si>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</si>
  <si>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</si>
  <si>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</si>
  <si>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</si>
  <si>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</si>
  <si>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</si>
  <si>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</si>
  <si>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</si>
  <si>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</si>
  <si>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</si>
  <si>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</si>
  <si>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</si>
  <si>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</si>
  <si>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</si>
  <si>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</si>
  <si>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</si>
  <si>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</si>
  <si>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</si>
  <si>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</si>
  <si>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</si>
  <si>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</si>
  <si>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</si>
  <si>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</si>
  <si>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</si>
  <si>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</si>
  <si>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</si>
  <si>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</si>
  <si>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</si>
  <si>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</si>
  <si>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</si>
  <si>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</si>
  <si>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</si>
  <si>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</si>
  <si>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</si>
  <si>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</si>
  <si>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</si>
  <si>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</si>
  <si>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</si>
  <si>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</si>
  <si>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</si>
  <si>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</si>
  <si>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</si>
  <si>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</si>
  <si>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</si>
  <si>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</si>
  <si>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</si>
  <si>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</si>
  <si>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</si>
  <si>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</si>
  <si>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</si>
  <si>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</si>
  <si>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</si>
  <si>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</si>
  <si>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</si>
  <si>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</si>
  <si>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</si>
  <si>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</si>
  <si>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</si>
  <si>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</si>
  <si>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</si>
  <si>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</si>
  <si>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</si>
  <si>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</si>
  <si>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</si>
  <si>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</si>
  <si>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</si>
  <si>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</si>
  <si>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</si>
  <si>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</si>
  <si>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</si>
  <si>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</si>
  <si>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</si>
  <si>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</si>
  <si>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</si>
  <si>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</si>
  <si>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</si>
  <si>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</si>
  <si>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</si>
  <si>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</si>
  <si>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</si>
  <si>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</si>
  <si>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</si>
  <si>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</si>
  <si>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</si>
  <si>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</si>
  <si>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</si>
  <si>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</si>
  <si>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</si>
  <si>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</si>
  <si>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</si>
  <si>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</si>
  <si>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</si>
  <si>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</si>
  <si>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</si>
  <si>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</si>
  <si>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</si>
  <si>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</si>
  <si>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</si>
  <si>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</si>
  <si>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</si>
  <si>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</si>
  <si>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</si>
  <si>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</si>
  <si>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</si>
  <si>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</si>
  <si>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</si>
  <si>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</si>
  <si>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</si>
  <si>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</si>
  <si>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</si>
  <si>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</si>
  <si>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</si>
  <si>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</si>
  <si>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</si>
  <si>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</si>
  <si>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</si>
  <si>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</si>
  <si>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</si>
  <si>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</si>
  <si>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</si>
  <si>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</si>
  <si>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</si>
  <si>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</si>
  <si>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</si>
  <si>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</si>
  <si>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</si>
  <si>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</si>
  <si>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</si>
  <si>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</si>
  <si>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</si>
  <si>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</si>
  <si>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</si>
  <si>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</si>
  <si>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</si>
  <si>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</si>
  <si>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</si>
  <si>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</si>
  <si>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</si>
  <si>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</si>
  <si>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</si>
  <si>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</si>
  <si>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</si>
  <si>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</si>
  <si>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</si>
  <si>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S18_1589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</si>
  <si>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</si>
  <si>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</si>
  <si>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</si>
  <si>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</si>
  <si>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</si>
  <si>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</si>
  <si>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</si>
  <si>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</si>
  <si>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</si>
  <si>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</si>
  <si>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</si>
  <si>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</si>
  <si>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</si>
  <si>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</si>
  <si>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</si>
  <si>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</si>
  <si>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</si>
  <si>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</si>
  <si>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S18_1984</t>
  </si>
  <si>
    <t>S18_2248</t>
  </si>
  <si>
    <t>S18_2319</t>
  </si>
  <si>
    <t>S18_2325</t>
  </si>
  <si>
    <t>S18_2581</t>
  </si>
  <si>
    <t>S18_2795</t>
  </si>
  <si>
    <t>S18_2949</t>
  </si>
  <si>
    <t>S18_2957</t>
  </si>
  <si>
    <t>S18_3029</t>
  </si>
  <si>
    <t>Auto-Moto Classics Inc.</t>
  </si>
  <si>
    <t>16780 Pompton St.</t>
  </si>
  <si>
    <t>S18_3140</t>
  </si>
  <si>
    <t>S18_3232</t>
  </si>
  <si>
    <t>S18_3259</t>
  </si>
  <si>
    <t>S18_3278</t>
  </si>
  <si>
    <t>S18_3320</t>
  </si>
  <si>
    <t>S18_3482</t>
  </si>
  <si>
    <t>S18_3782</t>
  </si>
  <si>
    <t>S18_3856</t>
  </si>
  <si>
    <t>S18_4027</t>
  </si>
  <si>
    <t>S18_4409</t>
  </si>
  <si>
    <t>S18_4522</t>
  </si>
  <si>
    <t>S18_4933</t>
  </si>
  <si>
    <t>S24_2000</t>
  </si>
  <si>
    <t>S24_2022</t>
  </si>
  <si>
    <t>S24_2360</t>
  </si>
  <si>
    <t>S24_2766</t>
  </si>
  <si>
    <t>S24_2840</t>
  </si>
  <si>
    <t>S24_3151</t>
  </si>
  <si>
    <t>S24_3816</t>
  </si>
  <si>
    <t>S24_3969</t>
  </si>
  <si>
    <t>S24_4278</t>
  </si>
  <si>
    <t>S32_1374</t>
  </si>
  <si>
    <t>S32_2206</t>
  </si>
  <si>
    <t>S32_3207</t>
  </si>
  <si>
    <t>S32_4289</t>
  </si>
  <si>
    <t>S50_1341</t>
  </si>
  <si>
    <t>S700_1938</t>
  </si>
  <si>
    <t>S700_2047</t>
  </si>
  <si>
    <t>S700_3505</t>
  </si>
  <si>
    <t>S700_3962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</si>
</sst>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&quot;$&quot;#,##0.00"/>
    <numFmt numFmtId="167" formatCode="[$-409]d\-mmm\-yyyy;@"/>
    <numFmt numFmtId="168" formatCode="000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6" fontId="0" fillId="0" borderId="0" xfId="0" applyNumberFormat="1"/>
    <xf numFmtId="0" fontId="0" fillId="0" borderId="0" xfId="0" pivotButton="1"/>
    <xf numFmtId="167" fontId="0" fillId="0" borderId="0" xfId="0" applyNumberFormat="1"/>
    <xf numFmtId="168" fontId="0" fillId="0" borderId="0" xfId="0" applyNumberFormat="1"/>
    <xf numFmtId="166" fontId="18" fillId="33" borderId="10" xfId="0" applyNumberFormat="1" applyFont="1" applyFill="1" applyBorder="1"/>
    <xf numFmtId="0" fontId="19" fillId="33" borderId="11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[sales_data_sample.xlsx]Interactive Sales Analysis Dash!PivotTable1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'Interactive Sales Analysis Dash'!$B$3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'Interactive Sales Analysis Dash'!$A$4:$A$11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'Interactive Sales Analysis Dash'!$B$4:$B$11</c:f>
              <c:numCache>
                <c:formatCode>"$"#,##0.00</c:formatCode>
                <c:ptCount val="7"/>
                <c:pt idx="0">
                  <c:v>862876.90000000061</c:v>
                </c:pt>
                <c:pt idx="1">
                  <c:v>169340.02</c:v>
                </c:pt>
                <c:pt idx="2">
                  <c:v>87578.14</c:v>
                </c:pt>
                <c:pt idx="3">
                  <c:v>17695.669999999998</c:v>
                </c:pt>
                <c:pt idx="4">
                  <c:v>5518.94</c:v>
                </c:pt>
                <c:pt idx="5">
                  <c:v>56311.839999999989</c:v>
                </c:pt>
                <c:pt idx="6">
                  <c:v>209343.97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F-4CAD-AB88-D3B4BB6DA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207111"/>
        <c:axId val="1788209159"/>
      </c:barChart>
      <c:catAx>
        <c:axId val="1788207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209159"/>
        <c:crosses val="autoZero"/>
        <c:auto val="1"/>
        <c:lblAlgn val="ctr"/>
        <c:lblOffset val="100"/>
        <c:noMultiLvlLbl val="0"/>
      </c:catAx>
      <c:valAx>
        <c:axId val="1788209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207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[sales_data_sample.xlsx]Monthly Sales Trend!PivotTable6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'Monthly Sales Trend'!$A$4:$A$16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Trend'!$B$4:$B$16</c:f>
              <c:numCache>
                <c:formatCode>"$"#,##0.00</c:formatCode>
                <c:ptCount val="12"/>
                <c:pt idx="0">
                  <c:v>109979.68999999999</c:v>
                </c:pt>
                <c:pt idx="1">
                  <c:v>114294.27000000002</c:v>
                </c:pt>
                <c:pt idx="2">
                  <c:v>106581.90000000002</c:v>
                </c:pt>
                <c:pt idx="3">
                  <c:v>112145.02999999998</c:v>
                </c:pt>
                <c:pt idx="4">
                  <c:v>146003.9</c:v>
                </c:pt>
                <c:pt idx="5">
                  <c:v>74518.270000000019</c:v>
                </c:pt>
                <c:pt idx="6">
                  <c:v>76429.62</c:v>
                </c:pt>
                <c:pt idx="7">
                  <c:v>80698.98</c:v>
                </c:pt>
                <c:pt idx="8">
                  <c:v>94750.5</c:v>
                </c:pt>
                <c:pt idx="9">
                  <c:v>156925.06999999998</c:v>
                </c:pt>
                <c:pt idx="10">
                  <c:v>270092.26</c:v>
                </c:pt>
                <c:pt idx="11">
                  <c:v>66245.990000000005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B2-4149-8C2D-2D4C6DC30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489159"/>
        <c:axId val="998211592"/>
      </c:lineChart>
      <c:catAx>
        <c:axId val="205489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211592"/>
        <c:crosses val="autoZero"/>
        <c:auto val="1"/>
        <c:lblAlgn val="ctr"/>
        <c:lblOffset val="100"/>
        <c:noMultiLvlLbl val="0"/>
      </c:catAx>
      <c:valAx>
        <c:axId val="99821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89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[sales_data_sample.xlsx]Interactive Sales Analysis Dash!PivotTable1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Interactive Sales Analysis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'Interactive Sales Analysis Dash'!$B$3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'Interactive Sales Analysis Dash'!$A$4:$A$11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'Interactive Sales Analysis Dash'!$B$4:$B$11</c:f>
              <c:numCache>
                <c:formatCode>"$"#,##0.00</c:formatCode>
                <c:ptCount val="7"/>
                <c:pt idx="0">
                  <c:v>862876.90000000061</c:v>
                </c:pt>
                <c:pt idx="1">
                  <c:v>169340.02</c:v>
                </c:pt>
                <c:pt idx="2">
                  <c:v>87578.14</c:v>
                </c:pt>
                <c:pt idx="3">
                  <c:v>17695.669999999998</c:v>
                </c:pt>
                <c:pt idx="4">
                  <c:v>5518.94</c:v>
                </c:pt>
                <c:pt idx="5">
                  <c:v>56311.839999999989</c:v>
                </c:pt>
                <c:pt idx="6">
                  <c:v>209343.97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8-45DD-99D0-9631EECAE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207111"/>
        <c:axId val="1788209159"/>
      </c:barChart>
      <c:catAx>
        <c:axId val="1788207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209159"/>
        <c:crosses val="autoZero"/>
        <c:auto val="1"/>
        <c:lblAlgn val="ctr"/>
        <c:lblOffset val="100"/>
        <c:noMultiLvlLbl val="0"/>
      </c:catAx>
      <c:valAx>
        <c:axId val="1788209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207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[sales_data_sample.xlsx]Monthly Sales Trend!PivotTable6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'Monthly Sales Trend'!$A$4:$A$16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Trend'!$B$4:$B$16</c:f>
              <c:numCache>
                <c:formatCode>"$"#,##0.00</c:formatCode>
                <c:ptCount val="12"/>
                <c:pt idx="0">
                  <c:v>109979.68999999999</c:v>
                </c:pt>
                <c:pt idx="1">
                  <c:v>114294.27000000002</c:v>
                </c:pt>
                <c:pt idx="2">
                  <c:v>106581.90000000002</c:v>
                </c:pt>
                <c:pt idx="3">
                  <c:v>112145.02999999998</c:v>
                </c:pt>
                <c:pt idx="4">
                  <c:v>146003.9</c:v>
                </c:pt>
                <c:pt idx="5">
                  <c:v>74518.270000000019</c:v>
                </c:pt>
                <c:pt idx="6">
                  <c:v>76429.62</c:v>
                </c:pt>
                <c:pt idx="7">
                  <c:v>80698.98</c:v>
                </c:pt>
                <c:pt idx="8">
                  <c:v>94750.5</c:v>
                </c:pt>
                <c:pt idx="9">
                  <c:v>156925.06999999998</c:v>
                </c:pt>
                <c:pt idx="10">
                  <c:v>270092.26</c:v>
                </c:pt>
                <c:pt idx="11">
                  <c:v>66245.990000000005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0E-4EBA-B4E7-9E955F70B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489159"/>
        <c:axId val="998211592"/>
      </c:lineChart>
      <c:catAx>
        <c:axId val="205489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211592"/>
        <c:crosses val="autoZero"/>
        <c:auto val="1"/>
        <c:lblAlgn val="ctr"/>
        <c:lblOffset val="100"/>
        <c:noMultiLvlLbl val="0"/>
      </c:catAx>
      <c:valAx>
        <c:axId val="99821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89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3</xdr:row>
      <xdr:rowOff>133350</xdr:rowOff>
    </xdr:from>
    <xdr:to>
      <xdr:col>8</xdr:col>
      <xdr:colOff>9525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B09699-A5EC-4D3A-9F9D-FD6BD1C2C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20</xdr:row>
      <xdr:rowOff>19050</xdr:rowOff>
    </xdr:from>
    <xdr:to>
      <xdr:col>8</xdr:col>
      <xdr:colOff>28575</xdr:colOff>
      <xdr:row>38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58B04-8C0F-4FE1-AF55-83496BC40740}"/>
            </a:ext>
            <a:ext uri="{147F2762-F138-4A5C-976F-8EAC2B608ADB}">
              <a16:predDERef xmlns:a16="http://schemas.microsoft.com/office/drawing/2014/main" pred="{67B09699-A5EC-4D3A-9F9D-FD6BD1C2C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2</xdr:row>
      <xdr:rowOff>0</xdr:rowOff>
    </xdr:from>
    <xdr:to>
      <xdr:col>13</xdr:col>
      <xdr:colOff>581025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0983B7-082B-8076-1033-4EA6318FD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123825</xdr:colOff>
      <xdr:row>9</xdr:row>
      <xdr:rowOff>104775</xdr:rowOff>
    </xdr:from>
    <xdr:to>
      <xdr:col>17</xdr:col>
      <xdr:colOff>28575</xdr:colOff>
      <xdr:row>15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YEAR_ID">
              <a:extLst>
                <a:ext uri="{FF2B5EF4-FFF2-40B4-BE49-F238E27FC236}">
                  <a16:creationId xmlns:a16="http://schemas.microsoft.com/office/drawing/2014/main" id="{281525D9-5F67-0C2F-F2CF-735BCB0C3075}"/>
                </a:ext>
                <a:ext uri="{147F2762-F138-4A5C-976F-8EAC2B608ADB}">
                  <a16:predDERef xmlns:a16="http://schemas.microsoft.com/office/drawing/2014/main" pred="{310983B7-082B-8076-1033-4EA6318FD9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_I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48800" y="1819275"/>
              <a:ext cx="1733550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142875</xdr:colOff>
      <xdr:row>15</xdr:row>
      <xdr:rowOff>171450</xdr:rowOff>
    </xdr:from>
    <xdr:to>
      <xdr:col>17</xdr:col>
      <xdr:colOff>47625</xdr:colOff>
      <xdr:row>21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RODUCTLINE">
              <a:extLst>
                <a:ext uri="{FF2B5EF4-FFF2-40B4-BE49-F238E27FC236}">
                  <a16:creationId xmlns:a16="http://schemas.microsoft.com/office/drawing/2014/main" id="{DFECBEFD-C75B-B576-B91F-1C659A6B2EAE}"/>
                </a:ext>
                <a:ext uri="{147F2762-F138-4A5C-976F-8EAC2B608ADB}">
                  <a16:predDERef xmlns:a16="http://schemas.microsoft.com/office/drawing/2014/main" pred="{281525D9-5F67-0C2F-F2CF-735BCB0C30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LIN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67850" y="3028950"/>
              <a:ext cx="1733550" cy="1114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133350</xdr:colOff>
      <xdr:row>2</xdr:row>
      <xdr:rowOff>114300</xdr:rowOff>
    </xdr:from>
    <xdr:to>
      <xdr:col>17</xdr:col>
      <xdr:colOff>28575</xdr:colOff>
      <xdr:row>9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OUNTRY">
              <a:extLst>
                <a:ext uri="{FF2B5EF4-FFF2-40B4-BE49-F238E27FC236}">
                  <a16:creationId xmlns:a16="http://schemas.microsoft.com/office/drawing/2014/main" id="{68729732-67BA-E24D-E93B-88303F4517A7}"/>
                </a:ext>
                <a:ext uri="{147F2762-F138-4A5C-976F-8EAC2B608ADB}">
                  <a16:predDERef xmlns:a16="http://schemas.microsoft.com/office/drawing/2014/main" pred="{DFECBEFD-C75B-B576-B91F-1C659A6B2E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58325" y="495300"/>
              <a:ext cx="1724025" cy="1304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3</xdr:row>
      <xdr:rowOff>66675</xdr:rowOff>
    </xdr:from>
    <xdr:to>
      <xdr:col>15</xdr:col>
      <xdr:colOff>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4DDCD3-1FEE-B037-3BE2-2D1ED1DC6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l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6.58996099537" createdVersion="8" refreshedVersion="8" minRefreshableVersion="3" recordCount="307" xr:uid="{9FF4C6C4-3F4B-423A-8AA0-0AF84D1AC2F1}">
  <cacheSource type="worksheet">
    <worksheetSource ref="A1:Z308" sheet="Sales_Data"/>
  </cacheSource>
  <cacheFields count="26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34.909999999999997" maxValue="100"/>
    </cacheField>
    <cacheField name="ORDERLINENUMBER" numFmtId="0">
      <sharedItems containsSemiMixedTypes="0" containsString="0" containsNumber="1" containsInteger="1" minValue="1" maxValue="17"/>
    </cacheField>
    <cacheField name="SALES" numFmtId="166">
      <sharedItems containsSemiMixedTypes="0" containsString="0" containsNumber="1" minValue="553.95000000000005" maxValue="12001"/>
    </cacheField>
    <cacheField name="ORDERDATE" numFmtId="14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5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  <cacheField name="Blank Row?" numFmtId="0">
      <sharedItems/>
    </cacheField>
  </cacheFields>
  <extLst>
    <ext xmlns:x14="http://schemas.microsoft.com/office/spreadsheetml/2009/9/main" uri="{725AE2AE-9491-48be-B2B4-4EB974FC3084}">
      <x14:pivotCacheDefinition pivotCacheId="5742366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6.600746875003" createdVersion="8" refreshedVersion="8" minRefreshableVersion="3" recordCount="307" xr:uid="{12567936-0804-48EA-8503-39046368BF68}">
  <cacheSource type="worksheet">
    <worksheetSource ref="A1:AA308" sheet="Sales_Data"/>
  </cacheSource>
  <cacheFields count="27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34.909999999999997" maxValue="100"/>
    </cacheField>
    <cacheField name="ORDERLINENUMBER" numFmtId="0">
      <sharedItems containsSemiMixedTypes="0" containsString="0" containsNumber="1" containsInteger="1" minValue="1" maxValue="17"/>
    </cacheField>
    <cacheField name="SALES" numFmtId="166">
      <sharedItems containsSemiMixedTypes="0" containsString="0" containsNumber="1" minValue="553.95000000000005" maxValue="12001"/>
    </cacheField>
    <cacheField name="ORDERDATE" numFmtId="167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/>
    </cacheField>
    <cacheField name="MSRP" numFmtId="0">
      <sharedItems containsSemiMixedTypes="0" containsString="0" containsNumber="1" containsInteger="1" minValue="35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/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  <cacheField name="Blank Row?" numFmtId="0">
      <sharedItems/>
    </cacheField>
    <cacheField name="Month" numFmtId="168">
      <sharedItems count="12">
        <s v="February"/>
        <s v="May"/>
        <s v="July"/>
        <s v="August"/>
        <s v="October"/>
        <s v="November"/>
        <s v="December"/>
        <s v="January"/>
        <s v="April"/>
        <s v="June"/>
        <s v="September"/>
        <s v="Mar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n v="10107"/>
    <n v="30"/>
    <n v="95.7"/>
    <n v="2"/>
    <n v="2871"/>
    <d v="2003-02-24T00:00:00"/>
    <s v="Shipped"/>
    <n v="1"/>
    <n v="2"/>
    <x v="0"/>
    <x v="0"/>
    <n v="95"/>
    <s v="S10_1678"/>
    <s v="Land of Toys Inc."/>
    <n v="2125557818"/>
    <s v="897 Long Airport Avenue"/>
    <m/>
    <s v="NYC"/>
    <s v="NY"/>
    <n v="10022"/>
    <x v="0"/>
    <s v="NA"/>
    <s v="Yu"/>
    <s v="Kwai"/>
    <s v="Small"/>
    <s v=""/>
  </r>
  <r>
    <n v="10121"/>
    <n v="34"/>
    <n v="81.349999999999994"/>
    <n v="5"/>
    <n v="2765.9"/>
    <d v="2003-05-07T00:00:00"/>
    <s v="Shipped"/>
    <n v="2"/>
    <n v="5"/>
    <x v="0"/>
    <x v="0"/>
    <n v="95"/>
    <s v="S10_1678"/>
    <s v="Reims Collectables"/>
    <s v="26.47.1555"/>
    <s v="59 rue de l'Abbaye"/>
    <m/>
    <s v="Reims"/>
    <m/>
    <n v="51100"/>
    <x v="1"/>
    <s v="EMEA"/>
    <s v="Henriot"/>
    <s v="Paul"/>
    <s v="Small"/>
    <s v=""/>
  </r>
  <r>
    <n v="10134"/>
    <n v="41"/>
    <n v="94.74"/>
    <n v="2"/>
    <n v="3884.34"/>
    <d v="2003-07-01T00:00:00"/>
    <s v="Shipped"/>
    <n v="3"/>
    <n v="7"/>
    <x v="0"/>
    <x v="0"/>
    <n v="95"/>
    <s v="S10_1678"/>
    <s v="Lyon Souveniers"/>
    <s v="+33 1 46 62 7555"/>
    <s v="27 rue du Colonel Pierre Avia"/>
    <m/>
    <s v="Paris"/>
    <m/>
    <n v="75508"/>
    <x v="1"/>
    <s v="EMEA"/>
    <s v="Da Cunha"/>
    <s v="Daniel"/>
    <s v="Medium"/>
    <s v=""/>
  </r>
  <r>
    <n v="10145"/>
    <n v="45"/>
    <n v="83.26"/>
    <n v="6"/>
    <n v="3746.7"/>
    <d v="2003-08-25T00:00:00"/>
    <s v="Shipped"/>
    <n v="3"/>
    <n v="8"/>
    <x v="0"/>
    <x v="0"/>
    <n v="95"/>
    <s v="S10_1678"/>
    <s v="Toys4GrownUps.com"/>
    <n v="6265557265"/>
    <s v="78934 Hillside Dr."/>
    <m/>
    <s v="Pasadena"/>
    <s v="CA"/>
    <n v="90003"/>
    <x v="0"/>
    <s v="NA"/>
    <s v="Young"/>
    <s v="Julie"/>
    <s v="Medium"/>
    <s v=""/>
  </r>
  <r>
    <n v="10159"/>
    <n v="49"/>
    <n v="100"/>
    <n v="14"/>
    <n v="5205.2700000000004"/>
    <d v="2003-10-10T00:00:00"/>
    <s v="Shipped"/>
    <n v="4"/>
    <n v="10"/>
    <x v="0"/>
    <x v="0"/>
    <n v="95"/>
    <s v="S10_1678"/>
    <s v="Corporate Gift Ideas Co."/>
    <n v="6505551386"/>
    <s v="7734 Strong St."/>
    <m/>
    <s v="San Francisco"/>
    <s v="CA"/>
    <m/>
    <x v="0"/>
    <s v="NA"/>
    <s v="Brown"/>
    <s v="Julie"/>
    <s v="Medium"/>
    <s v=""/>
  </r>
  <r>
    <n v="10168"/>
    <n v="36"/>
    <n v="96.66"/>
    <n v="1"/>
    <n v="3479.76"/>
    <d v="2003-10-28T00:00:00"/>
    <s v="Shipped"/>
    <n v="4"/>
    <n v="10"/>
    <x v="0"/>
    <x v="0"/>
    <n v="95"/>
    <s v="S10_1678"/>
    <s v="Technics Stores Inc."/>
    <n v="6505556809"/>
    <s v="9408 Furth Circle"/>
    <m/>
    <s v="Burlingame"/>
    <s v="CA"/>
    <n v="94217"/>
    <x v="0"/>
    <s v="NA"/>
    <s v="Hirano"/>
    <s v="Juri"/>
    <s v="Medium"/>
    <s v=""/>
  </r>
  <r>
    <n v="10180"/>
    <n v="29"/>
    <n v="86.13"/>
    <n v="9"/>
    <n v="2497.77"/>
    <d v="2003-11-11T00:00:00"/>
    <s v="Shipped"/>
    <n v="4"/>
    <n v="11"/>
    <x v="0"/>
    <x v="0"/>
    <n v="95"/>
    <s v="S10_1678"/>
    <s v="Daedalus Designs Imports"/>
    <s v="20.16.1555"/>
    <s v="184, chausse de Tournai"/>
    <m/>
    <s v="Lille"/>
    <m/>
    <n v="59000"/>
    <x v="1"/>
    <s v="EMEA"/>
    <s v="Rance"/>
    <s v="Martine"/>
    <s v="Small"/>
    <s v=""/>
  </r>
  <r>
    <n v="10188"/>
    <n v="48"/>
    <n v="100"/>
    <n v="1"/>
    <n v="5512.32"/>
    <d v="2003-11-18T00:00:00"/>
    <s v="Shipped"/>
    <n v="4"/>
    <n v="11"/>
    <x v="0"/>
    <x v="0"/>
    <n v="95"/>
    <s v="S10_1678"/>
    <s v="Herkku Gifts"/>
    <s v="+47 2267 3215"/>
    <s v="Drammen 121, PR 744 Sentrum"/>
    <m/>
    <s v="Bergen"/>
    <m/>
    <s v="N 5804"/>
    <x v="2"/>
    <s v="EMEA"/>
    <s v="Oeztan"/>
    <s v="Veysel"/>
    <s v="Medium"/>
    <s v=""/>
  </r>
  <r>
    <n v="10201"/>
    <n v="22"/>
    <n v="98.57"/>
    <n v="2"/>
    <n v="2168.54"/>
    <d v="2003-12-01T00:00:00"/>
    <s v="Shipped"/>
    <n v="4"/>
    <n v="12"/>
    <x v="0"/>
    <x v="0"/>
    <n v="95"/>
    <s v="S10_1678"/>
    <s v="Mini Wheels Co."/>
    <n v="6505555787"/>
    <s v="5557 North Pendale Street"/>
    <m/>
    <s v="San Francisco"/>
    <s v="CA"/>
    <m/>
    <x v="0"/>
    <s v="NA"/>
    <s v="Murphy"/>
    <s v="Julie"/>
    <s v="Small"/>
    <s v=""/>
  </r>
  <r>
    <n v="10211"/>
    <n v="41"/>
    <n v="100"/>
    <n v="14"/>
    <n v="4708.4399999999996"/>
    <d v="2004-01-15T00:00:00"/>
    <s v="Shipped"/>
    <n v="1"/>
    <n v="1"/>
    <x v="1"/>
    <x v="0"/>
    <n v="95"/>
    <s v="S10_1678"/>
    <s v="Auto Canal Petit"/>
    <s v="(1) 47.55.6555"/>
    <s v="25, rue Lauriston"/>
    <m/>
    <s v="Paris"/>
    <m/>
    <n v="75016"/>
    <x v="1"/>
    <s v="EMEA"/>
    <s v="Perrier"/>
    <s v="Dominique"/>
    <s v="Medium"/>
    <s v=""/>
  </r>
  <r>
    <n v="10223"/>
    <n v="37"/>
    <n v="100"/>
    <n v="1"/>
    <n v="3965.66"/>
    <d v="2004-02-20T00:00:00"/>
    <s v="Shipped"/>
    <n v="1"/>
    <n v="2"/>
    <x v="1"/>
    <x v="0"/>
    <n v="95"/>
    <s v="S10_1678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  <s v=""/>
  </r>
  <r>
    <n v="10237"/>
    <n v="23"/>
    <n v="100"/>
    <n v="7"/>
    <n v="2333.12"/>
    <d v="2004-04-05T00:00:00"/>
    <s v="Shipped"/>
    <n v="2"/>
    <n v="4"/>
    <x v="1"/>
    <x v="0"/>
    <n v="95"/>
    <s v="S10_1678"/>
    <s v="Vitachrome Inc."/>
    <n v="2125551500"/>
    <s v="2678 Kingston Rd."/>
    <s v="Suite 101"/>
    <s v="NYC"/>
    <s v="NY"/>
    <n v="10022"/>
    <x v="0"/>
    <s v="NA"/>
    <s v="Frick"/>
    <s v="Michael"/>
    <s v="Small"/>
    <s v=""/>
  </r>
  <r>
    <n v="10251"/>
    <n v="28"/>
    <n v="100"/>
    <n v="2"/>
    <n v="3188.64"/>
    <d v="2004-05-18T00:00:00"/>
    <s v="Shipped"/>
    <n v="2"/>
    <n v="5"/>
    <x v="1"/>
    <x v="0"/>
    <n v="95"/>
    <s v="S10_1678"/>
    <s v="Tekni Collectables Inc."/>
    <n v="2015559350"/>
    <s v="7476 Moss Rd."/>
    <m/>
    <s v="Newark"/>
    <s v="NJ"/>
    <n v="94019"/>
    <x v="0"/>
    <s v="NA"/>
    <s v="Brown"/>
    <s v="William"/>
    <s v="Medium"/>
    <s v=""/>
  </r>
  <r>
    <n v="10263"/>
    <n v="34"/>
    <n v="100"/>
    <n v="2"/>
    <n v="3676.76"/>
    <d v="2004-06-28T00:00:00"/>
    <s v="Shipped"/>
    <n v="2"/>
    <n v="6"/>
    <x v="1"/>
    <x v="0"/>
    <n v="95"/>
    <s v="S10_1678"/>
    <s v="Gift Depot Inc."/>
    <n v="2035552570"/>
    <s v="25593 South Bay Ln."/>
    <m/>
    <s v="Bridgewater"/>
    <s v="CT"/>
    <n v="97562"/>
    <x v="0"/>
    <s v="NA"/>
    <s v="King"/>
    <s v="Julie"/>
    <s v="Medium"/>
    <s v=""/>
  </r>
  <r>
    <n v="10275"/>
    <n v="45"/>
    <n v="92.83"/>
    <n v="1"/>
    <n v="4177.3500000000004"/>
    <d v="2004-07-23T00:00:00"/>
    <s v="Shipped"/>
    <n v="3"/>
    <n v="7"/>
    <x v="1"/>
    <x v="0"/>
    <n v="95"/>
    <s v="S10_1678"/>
    <s v="La Rochelle Gifts"/>
    <s v="40.67.8555"/>
    <s v="67, rue des Cinquante Otages"/>
    <m/>
    <s v="Nantes"/>
    <m/>
    <n v="44000"/>
    <x v="1"/>
    <s v="EMEA"/>
    <s v="Labrune"/>
    <s v="Janine"/>
    <s v="Medium"/>
    <s v=""/>
  </r>
  <r>
    <n v="10285"/>
    <n v="36"/>
    <n v="100"/>
    <n v="6"/>
    <n v="4099.68"/>
    <d v="2004-08-27T00:00:00"/>
    <s v="Shipped"/>
    <n v="3"/>
    <n v="8"/>
    <x v="1"/>
    <x v="0"/>
    <n v="95"/>
    <s v="S10_1678"/>
    <s v="Marta's Replicas Co."/>
    <n v="6175558555"/>
    <s v="39323 Spinnaker Dr."/>
    <m/>
    <s v="Cambridge"/>
    <s v="MA"/>
    <n v="51247"/>
    <x v="0"/>
    <s v="NA"/>
    <s v="Hernandez"/>
    <s v="Marta"/>
    <s v="Medium"/>
    <s v=""/>
  </r>
  <r>
    <n v="10299"/>
    <n v="23"/>
    <n v="100"/>
    <n v="9"/>
    <n v="2597.39"/>
    <d v="2004-09-30T00:00:00"/>
    <s v="Shipped"/>
    <n v="3"/>
    <n v="9"/>
    <x v="1"/>
    <x v="0"/>
    <n v="95"/>
    <s v="S10_1678"/>
    <s v="Toys of Finland, Co."/>
    <s v="90-224 8555"/>
    <s v="Keskuskatu 45"/>
    <m/>
    <s v="Helsinki"/>
    <m/>
    <n v="21240"/>
    <x v="4"/>
    <s v="EMEA"/>
    <s v="Karttunen"/>
    <s v="Matti"/>
    <s v="Small"/>
    <s v=""/>
  </r>
  <r>
    <n v="10309"/>
    <n v="41"/>
    <n v="100"/>
    <n v="5"/>
    <n v="4394.38"/>
    <d v="2004-10-15T00:00:00"/>
    <s v="Shipped"/>
    <n v="4"/>
    <n v="10"/>
    <x v="1"/>
    <x v="0"/>
    <n v="95"/>
    <s v="S10_1678"/>
    <s v="Baane Mini Imports"/>
    <s v="07-98 9555"/>
    <s v="Erling Skakkes gate 78"/>
    <m/>
    <s v="Stavern"/>
    <m/>
    <n v="4110"/>
    <x v="2"/>
    <s v="EMEA"/>
    <s v="Bergulfsen"/>
    <s v="Jonas"/>
    <s v="Medium"/>
    <s v=""/>
  </r>
  <r>
    <n v="10318"/>
    <n v="46"/>
    <n v="94.74"/>
    <n v="1"/>
    <n v="4358.04"/>
    <d v="2004-11-02T00:00:00"/>
    <s v="Shipped"/>
    <n v="4"/>
    <n v="11"/>
    <x v="1"/>
    <x v="0"/>
    <n v="95"/>
    <s v="S10_1678"/>
    <s v="Diecast Classics Inc."/>
    <n v="2155551555"/>
    <s v="7586 Pompton St."/>
    <m/>
    <s v="Allentown"/>
    <s v="PA"/>
    <n v="70267"/>
    <x v="0"/>
    <s v="NA"/>
    <s v="Yu"/>
    <s v="Kyung"/>
    <s v="Medium"/>
    <s v=""/>
  </r>
  <r>
    <n v="10329"/>
    <n v="42"/>
    <n v="100"/>
    <n v="1"/>
    <n v="4396.1400000000003"/>
    <d v="2004-11-15T00:00:00"/>
    <s v="Shipped"/>
    <n v="4"/>
    <n v="11"/>
    <x v="1"/>
    <x v="0"/>
    <n v="95"/>
    <s v="S10_1678"/>
    <s v="Land of Toys Inc."/>
    <n v="2125557818"/>
    <s v="897 Long Airport Avenue"/>
    <m/>
    <s v="NYC"/>
    <s v="NY"/>
    <n v="10022"/>
    <x v="0"/>
    <s v="NA"/>
    <s v="Yu"/>
    <s v="Kwai"/>
    <s v="Medium"/>
    <s v=""/>
  </r>
  <r>
    <n v="10341"/>
    <n v="41"/>
    <n v="100"/>
    <n v="9"/>
    <n v="7737.93"/>
    <d v="2004-11-24T00:00:00"/>
    <s v="Shipped"/>
    <n v="4"/>
    <n v="11"/>
    <x v="1"/>
    <x v="0"/>
    <n v="95"/>
    <s v="S10_1678"/>
    <s v="Salzburg Collectables"/>
    <s v="6562-9555"/>
    <s v="Geislweg 14"/>
    <m/>
    <s v="Salzburg"/>
    <m/>
    <n v="5020"/>
    <x v="5"/>
    <s v="EMEA"/>
    <s v="Pipps"/>
    <s v="Georg"/>
    <s v="Large"/>
    <s v=""/>
  </r>
  <r>
    <n v="10361"/>
    <n v="20"/>
    <n v="72.55"/>
    <n v="13"/>
    <n v="1451"/>
    <d v="2004-12-17T00:00:00"/>
    <s v="Shipped"/>
    <n v="4"/>
    <n v="12"/>
    <x v="1"/>
    <x v="0"/>
    <n v="95"/>
    <s v="S10_167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  <s v=""/>
  </r>
  <r>
    <n v="10375"/>
    <n v="21"/>
    <n v="34.909999999999997"/>
    <n v="12"/>
    <n v="733.11"/>
    <d v="2005-02-03T00:00:00"/>
    <s v="Shipped"/>
    <n v="1"/>
    <n v="2"/>
    <x v="2"/>
    <x v="0"/>
    <n v="95"/>
    <s v="S10_1678"/>
    <s v="La Rochelle Gifts"/>
    <s v="40.67.8555"/>
    <s v="67, rue des Cinquante Otages"/>
    <m/>
    <s v="Nantes"/>
    <m/>
    <n v="44000"/>
    <x v="1"/>
    <s v="EMEA"/>
    <s v="Labrune"/>
    <s v="Janine"/>
    <s v="Small"/>
    <s v=""/>
  </r>
  <r>
    <n v="10388"/>
    <n v="42"/>
    <n v="76.36"/>
    <n v="4"/>
    <n v="3207.12"/>
    <d v="2005-03-03T00:00:00"/>
    <s v="Shipped"/>
    <n v="1"/>
    <n v="3"/>
    <x v="2"/>
    <x v="0"/>
    <n v="95"/>
    <s v="S10_1678"/>
    <s v="FunGiftIdeas.com"/>
    <n v="5085552555"/>
    <s v="1785 First Street"/>
    <m/>
    <s v="New Bedford"/>
    <s v="MA"/>
    <n v="50553"/>
    <x v="0"/>
    <s v="NA"/>
    <s v="Benitez"/>
    <s v="Violeta"/>
    <s v="Medium"/>
    <s v=""/>
  </r>
  <r>
    <n v="10403"/>
    <n v="24"/>
    <n v="100"/>
    <n v="7"/>
    <n v="2434.56"/>
    <d v="2005-04-08T00:00:00"/>
    <s v="Shipped"/>
    <n v="2"/>
    <n v="4"/>
    <x v="2"/>
    <x v="0"/>
    <n v="95"/>
    <s v="S10_1678"/>
    <s v="UK Collectables, Ltd."/>
    <s v="(171) 555-2282"/>
    <s v="Berkeley Gardens 12  Brewery"/>
    <m/>
    <s v="Liverpool"/>
    <m/>
    <s v="WX1 6LT"/>
    <x v="6"/>
    <s v="EMEA"/>
    <s v="Devon"/>
    <s v="Elizabeth"/>
    <s v="Small"/>
    <s v=""/>
  </r>
  <r>
    <n v="10417"/>
    <n v="66"/>
    <n v="100"/>
    <n v="2"/>
    <n v="7516.08"/>
    <d v="2005-05-13T00:00:00"/>
    <s v="Disputed"/>
    <n v="2"/>
    <n v="5"/>
    <x v="2"/>
    <x v="0"/>
    <n v="95"/>
    <s v="S10_1678"/>
    <s v="Euro Shopping Channel"/>
    <s v="(91) 555 94 44"/>
    <s v="C/ Moralzarzal, 86"/>
    <m/>
    <s v="Madrid"/>
    <m/>
    <n v="28034"/>
    <x v="7"/>
    <s v="EMEA"/>
    <s v="Freyre"/>
    <s v="Diego"/>
    <s v="Large"/>
    <s v=""/>
  </r>
  <r>
    <n v="10103"/>
    <n v="26"/>
    <n v="100"/>
    <n v="11"/>
    <n v="5404.62"/>
    <d v="2003-01-29T00:00:00"/>
    <s v="Shipped"/>
    <n v="1"/>
    <n v="1"/>
    <x v="0"/>
    <x v="1"/>
    <n v="214"/>
    <s v="S10_1949"/>
    <s v="Baane Mini Imports"/>
    <s v="07-98 9555"/>
    <s v="Erling Skakkes gate 78"/>
    <m/>
    <s v="Stavern"/>
    <m/>
    <n v="4110"/>
    <x v="2"/>
    <s v="EMEA"/>
    <s v="Bergulfsen"/>
    <s v="Jonas"/>
    <s v="Medium"/>
    <s v=""/>
  </r>
  <r>
    <n v="10112"/>
    <n v="29"/>
    <n v="100"/>
    <n v="1"/>
    <n v="7209.11"/>
    <d v="2003-03-24T00:00:00"/>
    <s v="Shipped"/>
    <n v="1"/>
    <n v="3"/>
    <x v="0"/>
    <x v="1"/>
    <n v="214"/>
    <s v="S10_1949"/>
    <s v="Volvo Model Replicas, Co"/>
    <s v="0921-12 3555"/>
    <s v="Berguvsv„gen  8"/>
    <m/>
    <s v="Lule"/>
    <m/>
    <s v="S-958 22"/>
    <x v="8"/>
    <s v="EMEA"/>
    <s v="Berglund"/>
    <s v="Christina"/>
    <s v="Large"/>
    <s v=""/>
  </r>
  <r>
    <n v="10126"/>
    <n v="38"/>
    <n v="100"/>
    <n v="11"/>
    <n v="7329.06"/>
    <d v="2003-05-28T00:00:00"/>
    <s v="Shipped"/>
    <n v="2"/>
    <n v="5"/>
    <x v="0"/>
    <x v="1"/>
    <n v="214"/>
    <s v="S10_1949"/>
    <s v="Corrida Auto Replicas, Ltd"/>
    <s v="(91) 555 22 82"/>
    <s v="C/ Araquil, 67"/>
    <m/>
    <s v="Madrid"/>
    <m/>
    <n v="28023"/>
    <x v="7"/>
    <s v="EMEA"/>
    <s v="Sommer"/>
    <s v="Mart¡n"/>
    <s v="Large"/>
    <s v=""/>
  </r>
  <r>
    <n v="10140"/>
    <n v="37"/>
    <n v="100"/>
    <n v="11"/>
    <n v="7374.1"/>
    <d v="2003-07-24T00:00:00"/>
    <s v="Shipped"/>
    <n v="3"/>
    <n v="7"/>
    <x v="0"/>
    <x v="1"/>
    <n v="214"/>
    <s v="S10_1949"/>
    <s v="Technics Stores Inc."/>
    <n v="6505556809"/>
    <s v="9408 Furth Circle"/>
    <m/>
    <s v="Burlingame"/>
    <s v="CA"/>
    <n v="94217"/>
    <x v="0"/>
    <s v="NA"/>
    <s v="Hirano"/>
    <s v="Juri"/>
    <s v="Large"/>
    <s v=""/>
  </r>
  <r>
    <n v="10150"/>
    <n v="45"/>
    <n v="100"/>
    <n v="8"/>
    <n v="10993.5"/>
    <d v="2003-09-19T00:00:00"/>
    <s v="Shipped"/>
    <n v="3"/>
    <n v="9"/>
    <x v="0"/>
    <x v="1"/>
    <n v="214"/>
    <s v="S10_1949"/>
    <s v="Dragon Souveniers, Ltd."/>
    <s v="+65 221 7555"/>
    <s v="Bronz Sok., Bronz Apt. 3/6 Tesvikiye"/>
    <m/>
    <s v="Singapore"/>
    <m/>
    <n v="79903"/>
    <x v="9"/>
    <s v="Japan"/>
    <s v="Natividad"/>
    <s v="Eric"/>
    <s v="Large"/>
    <s v=""/>
  </r>
  <r>
    <n v="10163"/>
    <n v="21"/>
    <n v="100"/>
    <n v="1"/>
    <n v="4860.24"/>
    <d v="2003-10-20T00:00:00"/>
    <s v="Shipped"/>
    <n v="4"/>
    <n v="10"/>
    <x v="0"/>
    <x v="1"/>
    <n v="214"/>
    <s v="S10_1949"/>
    <s v="Classic Legends Inc."/>
    <n v="2125558493"/>
    <s v="5905 Pompton St."/>
    <s v="Suite 750"/>
    <s v="NYC"/>
    <s v="NY"/>
    <n v="10022"/>
    <x v="0"/>
    <s v="NA"/>
    <s v="Hernandez"/>
    <s v="Maria"/>
    <s v="Medium"/>
    <s v=""/>
  </r>
  <r>
    <n v="10174"/>
    <n v="34"/>
    <n v="100"/>
    <n v="4"/>
    <n v="8014.82"/>
    <d v="2003-11-06T00:00:00"/>
    <s v="Shipped"/>
    <n v="4"/>
    <n v="11"/>
    <x v="0"/>
    <x v="1"/>
    <n v="214"/>
    <s v="S10_1949"/>
    <s v="Australian Gift Network, Co"/>
    <s v="61-7-3844-6555"/>
    <s v="31 Duncan St. West End"/>
    <m/>
    <s v="South Brisbane"/>
    <s v="Queensland"/>
    <n v="4101"/>
    <x v="3"/>
    <s v="APAC"/>
    <s v="Calaghan"/>
    <s v="Tony"/>
    <s v="Large"/>
    <s v=""/>
  </r>
  <r>
    <n v="10183"/>
    <n v="23"/>
    <n v="100"/>
    <n v="8"/>
    <n v="5372.57"/>
    <d v="2003-11-13T00:00:00"/>
    <s v="Shipped"/>
    <n v="4"/>
    <n v="11"/>
    <x v="0"/>
    <x v="1"/>
    <n v="214"/>
    <s v="S10_1949"/>
    <s v="Classic Gift Ideas, Inc"/>
    <n v="2155554695"/>
    <s v="782 First Street"/>
    <m/>
    <s v="Philadelphia"/>
    <s v="PA"/>
    <n v="71270"/>
    <x v="0"/>
    <s v="NA"/>
    <s v="Cervantes"/>
    <s v="Francisca"/>
    <s v="Medium"/>
    <s v=""/>
  </r>
  <r>
    <n v="10194"/>
    <n v="42"/>
    <n v="100"/>
    <n v="11"/>
    <n v="7290.36"/>
    <d v="2003-11-25T00:00:00"/>
    <s v="Shipped"/>
    <n v="4"/>
    <n v="11"/>
    <x v="0"/>
    <x v="1"/>
    <n v="214"/>
    <s v="S10_1949"/>
    <s v="Saveley &amp; Henriot, Co."/>
    <s v="78.32.5555"/>
    <s v="2, rue du Commerce"/>
    <m/>
    <s v="Lyon"/>
    <m/>
    <n v="69004"/>
    <x v="1"/>
    <s v="EMEA"/>
    <s v="Saveley"/>
    <s v="Mary"/>
    <s v="Large"/>
    <s v=""/>
  </r>
  <r>
    <n v="10206"/>
    <n v="47"/>
    <n v="100"/>
    <n v="6"/>
    <n v="9064.89"/>
    <d v="2003-12-05T00:00:00"/>
    <s v="Shipped"/>
    <n v="4"/>
    <n v="12"/>
    <x v="0"/>
    <x v="1"/>
    <n v="214"/>
    <s v="S10_1949"/>
    <s v="Canadian Gift Exchange Network"/>
    <s v="(604) 555-3392"/>
    <s v="1900 Oak St."/>
    <m/>
    <s v="Vancouver"/>
    <s v="BC"/>
    <s v="V3F 2K1"/>
    <x v="10"/>
    <s v="NA"/>
    <s v="Tannamuri"/>
    <s v="Yoshi"/>
    <s v="Large"/>
    <s v=""/>
  </r>
  <r>
    <n v="10215"/>
    <n v="35"/>
    <n v="100"/>
    <n v="3"/>
    <n v="6075.3"/>
    <d v="2004-01-29T00:00:00"/>
    <s v="Shipped"/>
    <n v="1"/>
    <n v="1"/>
    <x v="1"/>
    <x v="1"/>
    <n v="214"/>
    <s v="S10_1949"/>
    <s v="West Coast Collectables Co."/>
    <n v="3105553722"/>
    <s v="3675 Furth Circle"/>
    <m/>
    <s v="Burbank"/>
    <s v="CA"/>
    <n v="94019"/>
    <x v="0"/>
    <s v="NA"/>
    <s v="Thompson"/>
    <s v="Steve"/>
    <s v="Medium"/>
    <s v=""/>
  </r>
  <r>
    <n v="10228"/>
    <n v="29"/>
    <n v="100"/>
    <n v="2"/>
    <n v="6463.23"/>
    <d v="2004-03-10T00:00:00"/>
    <s v="Shipped"/>
    <n v="1"/>
    <n v="3"/>
    <x v="1"/>
    <x v="1"/>
    <n v="214"/>
    <s v="S10_1949"/>
    <s v="Cambridge Collectables Co."/>
    <n v="6175555555"/>
    <s v="4658 Baden Av."/>
    <m/>
    <s v="Cambridge"/>
    <s v="MA"/>
    <n v="51247"/>
    <x v="0"/>
    <s v="NA"/>
    <s v="Tseng"/>
    <s v="Kyung"/>
    <s v="Medium"/>
    <s v=""/>
  </r>
  <r>
    <n v="10245"/>
    <n v="34"/>
    <n v="100"/>
    <n v="9"/>
    <n v="6120.34"/>
    <d v="2004-05-04T00:00:00"/>
    <s v="Shipped"/>
    <n v="2"/>
    <n v="5"/>
    <x v="1"/>
    <x v="1"/>
    <n v="214"/>
    <s v="S10_1949"/>
    <s v="Super Scale Inc."/>
    <n v="2035559545"/>
    <s v="567 North Pendale Street"/>
    <m/>
    <s v="New Haven"/>
    <s v="CT"/>
    <n v="97823"/>
    <x v="0"/>
    <s v="NA"/>
    <s v="Murphy"/>
    <s v="Leslie"/>
    <s v="Medium"/>
    <s v=""/>
  </r>
  <r>
    <n v="10258"/>
    <n v="32"/>
    <n v="100"/>
    <n v="6"/>
    <n v="7680.64"/>
    <d v="2004-06-15T00:00:00"/>
    <s v="Shipped"/>
    <n v="2"/>
    <n v="6"/>
    <x v="1"/>
    <x v="1"/>
    <n v="214"/>
    <s v="S10_1949"/>
    <s v="Tokyo Collectables, Ltd"/>
    <s v="+81 3 3584 0555"/>
    <s v="2-2-8 Roppongi"/>
    <m/>
    <s v="Minato-ku"/>
    <s v="Tokyo"/>
    <s v="106-0032"/>
    <x v="11"/>
    <s v="Japan"/>
    <s v="Shimamura"/>
    <s v="Akiko"/>
    <s v="Large"/>
    <s v=""/>
  </r>
  <r>
    <n v="10270"/>
    <n v="21"/>
    <n v="100"/>
    <n v="9"/>
    <n v="4905.3900000000003"/>
    <d v="2004-07-19T00:00:00"/>
    <s v="Shipped"/>
    <n v="3"/>
    <n v="7"/>
    <x v="1"/>
    <x v="1"/>
    <n v="214"/>
    <s v="S10_1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  <s v=""/>
  </r>
  <r>
    <n v="10280"/>
    <n v="34"/>
    <n v="100"/>
    <n v="2"/>
    <n v="8014.82"/>
    <d v="2004-08-17T00:00:00"/>
    <s v="Shipped"/>
    <n v="3"/>
    <n v="8"/>
    <x v="1"/>
    <x v="1"/>
    <n v="214"/>
    <s v="S10_1949"/>
    <s v="Amica Models &amp; Co."/>
    <s v="011-4988555"/>
    <s v="Via Monte Bianco 34"/>
    <m/>
    <s v="Torino"/>
    <m/>
    <n v="10100"/>
    <x v="12"/>
    <s v="EMEA"/>
    <s v="Accorti"/>
    <s v="Paolo"/>
    <s v="Large"/>
    <s v=""/>
  </r>
  <r>
    <n v="10291"/>
    <n v="37"/>
    <n v="100"/>
    <n v="11"/>
    <n v="7136.19"/>
    <d v="2004-09-08T00:00:00"/>
    <s v="Shipped"/>
    <n v="3"/>
    <n v="9"/>
    <x v="1"/>
    <x v="1"/>
    <n v="214"/>
    <s v="S10_1949"/>
    <s v="Scandinavian Gift Ideas"/>
    <s v="0695-34 6555"/>
    <s v="?kergatan 24"/>
    <m/>
    <s v="Boras"/>
    <m/>
    <s v="S-844 67"/>
    <x v="8"/>
    <s v="EMEA"/>
    <s v="Larsson"/>
    <s v="Maria"/>
    <s v="Large"/>
    <s v=""/>
  </r>
  <r>
    <n v="10304"/>
    <n v="47"/>
    <n v="100"/>
    <n v="6"/>
    <n v="10172.700000000001"/>
    <d v="2004-10-11T00:00:00"/>
    <s v="Shipped"/>
    <n v="4"/>
    <n v="10"/>
    <x v="1"/>
    <x v="1"/>
    <n v="214"/>
    <s v="S10_1949"/>
    <s v="Auto Assoc. &amp; Cie."/>
    <s v="30.59.8555"/>
    <s v="67, avenue de l'Europe"/>
    <m/>
    <s v="Versailles"/>
    <m/>
    <n v="78000"/>
    <x v="1"/>
    <s v="EMEA"/>
    <s v="Tonini"/>
    <s v="Daniel"/>
    <s v="Large"/>
    <s v=""/>
  </r>
  <r>
    <n v="10312"/>
    <n v="48"/>
    <n v="100"/>
    <n v="3"/>
    <n v="11623.7"/>
    <d v="2004-10-21T00:00:00"/>
    <s v="Shipped"/>
    <n v="4"/>
    <n v="10"/>
    <x v="1"/>
    <x v="1"/>
    <n v="214"/>
    <s v="S10_1949"/>
    <s v="Mini Gifts Distributors Ltd."/>
    <n v="4155551450"/>
    <s v="5677 Strong St."/>
    <m/>
    <s v="San Rafael"/>
    <s v="CA"/>
    <n v="97562"/>
    <x v="0"/>
    <s v="NA"/>
    <s v="Nelson"/>
    <s v="Valarie"/>
    <s v="Large"/>
    <s v=""/>
  </r>
  <r>
    <n v="10322"/>
    <n v="40"/>
    <n v="100"/>
    <n v="1"/>
    <n v="6000.4"/>
    <d v="2004-11-04T00:00:00"/>
    <s v="Shipped"/>
    <n v="4"/>
    <n v="11"/>
    <x v="1"/>
    <x v="1"/>
    <n v="214"/>
    <s v="S10_1949"/>
    <s v="Online Diecast Creations Co."/>
    <n v="6035558647"/>
    <s v="2304 Long Airport Avenue"/>
    <m/>
    <s v="Nashua"/>
    <s v="NH"/>
    <n v="62005"/>
    <x v="0"/>
    <s v="NA"/>
    <s v="Young"/>
    <s v="Valarie"/>
    <s v="Medium"/>
    <s v=""/>
  </r>
  <r>
    <n v="10333"/>
    <n v="26"/>
    <n v="100"/>
    <n v="3"/>
    <n v="3003"/>
    <d v="2004-11-18T00:00:00"/>
    <s v="Shipped"/>
    <n v="4"/>
    <n v="11"/>
    <x v="1"/>
    <x v="1"/>
    <n v="214"/>
    <s v="S10_1949"/>
    <s v="Mini Wheels Co."/>
    <n v="6505555787"/>
    <s v="5557 North Pendale Street"/>
    <m/>
    <s v="San Francisco"/>
    <s v="CA"/>
    <m/>
    <x v="0"/>
    <s v="NA"/>
    <s v="Murphy"/>
    <s v="Julie"/>
    <s v="Medium"/>
    <s v=""/>
  </r>
  <r>
    <n v="10347"/>
    <n v="30"/>
    <n v="100"/>
    <n v="1"/>
    <n v="3944.7"/>
    <d v="2004-11-29T00:00:00"/>
    <s v="Shipped"/>
    <n v="4"/>
    <n v="11"/>
    <x v="1"/>
    <x v="1"/>
    <n v="214"/>
    <s v="S10_194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  <s v=""/>
  </r>
  <r>
    <n v="10357"/>
    <n v="32"/>
    <n v="100"/>
    <n v="10"/>
    <n v="5691.84"/>
    <d v="2004-12-10T00:00:00"/>
    <s v="Shipped"/>
    <n v="4"/>
    <n v="12"/>
    <x v="1"/>
    <x v="1"/>
    <n v="214"/>
    <s v="S10_1949"/>
    <s v="Mini Gifts Distributors Ltd."/>
    <n v="4155551450"/>
    <s v="5677 Strong St."/>
    <m/>
    <s v="San Rafael"/>
    <s v="CA"/>
    <n v="97562"/>
    <x v="0"/>
    <s v="NA"/>
    <s v="Nelson"/>
    <s v="Valarie"/>
    <s v="Medium"/>
    <s v=""/>
  </r>
  <r>
    <n v="10369"/>
    <n v="41"/>
    <n v="100"/>
    <n v="2"/>
    <n v="4514.92"/>
    <d v="2005-01-20T00:00:00"/>
    <s v="Shipped"/>
    <n v="1"/>
    <n v="1"/>
    <x v="2"/>
    <x v="1"/>
    <n v="214"/>
    <s v="S10_1949"/>
    <s v="Collectables For Less Inc."/>
    <n v="6175558555"/>
    <s v="7825 Douglas Av."/>
    <m/>
    <s v="Brickhaven"/>
    <s v="MA"/>
    <n v="58339"/>
    <x v="0"/>
    <s v="NA"/>
    <s v="Nelson"/>
    <s v="Allen"/>
    <s v="Medium"/>
    <s v=""/>
  </r>
  <r>
    <n v="10381"/>
    <n v="36"/>
    <n v="100"/>
    <n v="3"/>
    <n v="8254.7999999999993"/>
    <d v="2005-02-17T00:00:00"/>
    <s v="Shipped"/>
    <n v="1"/>
    <n v="2"/>
    <x v="2"/>
    <x v="1"/>
    <n v="214"/>
    <s v="S10_1949"/>
    <s v="Corporate Gift Ideas Co."/>
    <n v="6505551386"/>
    <s v="7734 Strong St."/>
    <m/>
    <s v="San Francisco"/>
    <s v="CA"/>
    <m/>
    <x v="0"/>
    <s v="NA"/>
    <s v="Brown"/>
    <s v="Julie"/>
    <s v="Large"/>
    <s v=""/>
  </r>
  <r>
    <n v="10391"/>
    <n v="24"/>
    <n v="100"/>
    <n v="4"/>
    <n v="2416.56"/>
    <d v="2005-03-09T00:00:00"/>
    <s v="Shipped"/>
    <n v="1"/>
    <n v="3"/>
    <x v="2"/>
    <x v="1"/>
    <n v="214"/>
    <s v="S10_1949"/>
    <s v="Anna's Decorations, Ltd"/>
    <s v="02 9936 8555"/>
    <s v="201 Miller Street"/>
    <s v="Level 15"/>
    <s v="North Sydney"/>
    <s v="NSW"/>
    <n v="2060"/>
    <x v="3"/>
    <s v="APAC"/>
    <s v="O'Hara"/>
    <s v="Anna"/>
    <s v="Small"/>
    <s v=""/>
  </r>
  <r>
    <n v="10411"/>
    <n v="23"/>
    <n v="100"/>
    <n v="9"/>
    <n v="4140.2299999999996"/>
    <d v="2005-05-01T00:00:00"/>
    <s v="Shipped"/>
    <n v="2"/>
    <n v="5"/>
    <x v="2"/>
    <x v="1"/>
    <n v="214"/>
    <s v="S10_1949"/>
    <s v="Quebec Home Shopping Network"/>
    <s v="(514) 555-8054"/>
    <s v="43 rue St. Laurent"/>
    <m/>
    <s v="Montreal"/>
    <s v="Quebec"/>
    <s v="H1J 1C3"/>
    <x v="10"/>
    <s v="NA"/>
    <s v="Fresnisre"/>
    <s v="Jean"/>
    <s v="Medium"/>
    <s v=""/>
  </r>
  <r>
    <n v="10424"/>
    <n v="50"/>
    <n v="100"/>
    <n v="6"/>
    <n v="12001"/>
    <d v="2005-05-31T00:00:00"/>
    <s v="In Process"/>
    <n v="2"/>
    <n v="5"/>
    <x v="2"/>
    <x v="1"/>
    <n v="214"/>
    <s v="S10_1949"/>
    <s v="Euro Shopping Channel"/>
    <s v="(91) 555 94 44"/>
    <s v="C/ Moralzarzal, 86"/>
    <m/>
    <s v="Madrid"/>
    <m/>
    <n v="28034"/>
    <x v="7"/>
    <s v="EMEA"/>
    <s v="Freyre"/>
    <s v="Diego"/>
    <s v="Large"/>
    <s v=""/>
  </r>
  <r>
    <n v="10120"/>
    <n v="29"/>
    <n v="96.34"/>
    <n v="3"/>
    <n v="2793.86"/>
    <d v="2003-04-29T00:00:00"/>
    <s v="Shipped"/>
    <n v="2"/>
    <n v="4"/>
    <x v="0"/>
    <x v="0"/>
    <n v="118"/>
    <s v="S10_2016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  <s v=""/>
  </r>
  <r>
    <n v="10210"/>
    <n v="23"/>
    <n v="100"/>
    <n v="2"/>
    <n v="3009.09"/>
    <d v="2004-01-12T00:00:00"/>
    <s v="Shipped"/>
    <n v="1"/>
    <n v="1"/>
    <x v="1"/>
    <x v="0"/>
    <n v="118"/>
    <s v="S10_2016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  <s v=""/>
  </r>
  <r>
    <n v="10236"/>
    <n v="22"/>
    <n v="100"/>
    <n v="1"/>
    <n v="2852.08"/>
    <d v="2004-04-03T00:00:00"/>
    <s v="Shipped"/>
    <n v="2"/>
    <n v="4"/>
    <x v="1"/>
    <x v="0"/>
    <n v="118"/>
    <s v="S10_2016"/>
    <s v="Motor Mint Distributors Inc."/>
    <n v="2155559857"/>
    <s v="11328 Douglas Av."/>
    <m/>
    <s v="Philadelphia"/>
    <s v="PA"/>
    <n v="71270"/>
    <x v="0"/>
    <s v="NA"/>
    <s v="Hernandez"/>
    <s v="Rosa"/>
    <s v="Small"/>
    <s v=""/>
  </r>
  <r>
    <n v="10298"/>
    <n v="39"/>
    <n v="96.34"/>
    <n v="1"/>
    <n v="3757.26"/>
    <d v="2004-09-27T00:00:00"/>
    <s v="Shipped"/>
    <n v="3"/>
    <n v="9"/>
    <x v="1"/>
    <x v="0"/>
    <n v="118"/>
    <s v="S10_2016"/>
    <s v="Atelier graphique"/>
    <s v="40.32.2555"/>
    <s v="54, rue Royale"/>
    <m/>
    <s v="Nantes"/>
    <m/>
    <n v="44000"/>
    <x v="1"/>
    <s v="EMEA"/>
    <s v="Schmitt"/>
    <s v="Carine"/>
    <s v="Medium"/>
    <s v=""/>
  </r>
  <r>
    <n v="10308"/>
    <n v="34"/>
    <n v="100"/>
    <n v="2"/>
    <n v="4043.96"/>
    <d v="2004-10-15T00:00:00"/>
    <s v="Shipped"/>
    <n v="4"/>
    <n v="10"/>
    <x v="1"/>
    <x v="0"/>
    <n v="118"/>
    <s v="S10_2016"/>
    <s v="Mini Classics"/>
    <n v="9145554562"/>
    <s v="3758 North Pendale Street"/>
    <m/>
    <s v="White Plains"/>
    <s v="NY"/>
    <n v="24067"/>
    <x v="0"/>
    <s v="NA"/>
    <s v="Frick"/>
    <s v="Steve"/>
    <s v="Medium"/>
    <s v=""/>
  </r>
  <r>
    <n v="10339"/>
    <n v="40"/>
    <n v="68.92"/>
    <n v="4"/>
    <n v="2756.8"/>
    <d v="2004-11-23T00:00:00"/>
    <s v="Shipped"/>
    <n v="4"/>
    <n v="11"/>
    <x v="1"/>
    <x v="0"/>
    <n v="118"/>
    <s v="S10_2016"/>
    <s v="Tokyo Collectables, Ltd"/>
    <s v="+81 3 3584 0555"/>
    <s v="2-2-8 Roppongi"/>
    <m/>
    <s v="Minato-ku"/>
    <s v="Tokyo"/>
    <s v="106-0032"/>
    <x v="11"/>
    <s v="Japan"/>
    <s v="Shimamura"/>
    <s v="Akiko"/>
    <s v="Small"/>
    <s v=""/>
  </r>
  <r>
    <n v="10374"/>
    <n v="39"/>
    <n v="100"/>
    <n v="5"/>
    <n v="5288.01"/>
    <d v="2005-02-02T00:00:00"/>
    <s v="Shipped"/>
    <n v="1"/>
    <n v="2"/>
    <x v="2"/>
    <x v="0"/>
    <n v="118"/>
    <s v="S10_2016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  <s v=""/>
  </r>
  <r>
    <n v="10402"/>
    <n v="45"/>
    <n v="100"/>
    <n v="1"/>
    <n v="5833.8"/>
    <d v="2005-04-07T00:00:00"/>
    <s v="Shipped"/>
    <n v="2"/>
    <n v="4"/>
    <x v="2"/>
    <x v="0"/>
    <n v="118"/>
    <s v="S10_2016"/>
    <s v="Auto Canal Petit"/>
    <s v="(1) 47.55.6555"/>
    <s v="25, rue Lauriston"/>
    <m/>
    <s v="Paris"/>
    <m/>
    <n v="75016"/>
    <x v="1"/>
    <s v="EMEA"/>
    <s v="Perrier"/>
    <s v="Dominique"/>
    <s v="Medium"/>
    <s v=""/>
  </r>
  <r>
    <n v="10362"/>
    <n v="22"/>
    <n v="100"/>
    <n v="4"/>
    <n v="3664.1"/>
    <d v="2005-01-05T00:00:00"/>
    <s v="Shipped"/>
    <n v="1"/>
    <n v="1"/>
    <x v="2"/>
    <x v="0"/>
    <n v="193"/>
    <s v="S10_4698"/>
    <s v="Technics Stores Inc."/>
    <n v="6505556809"/>
    <s v="9408 Furth Circle"/>
    <m/>
    <s v="Burlingame"/>
    <s v="CA"/>
    <n v="94217"/>
    <x v="0"/>
    <s v="NA"/>
    <s v="Hirano"/>
    <s v="Juri"/>
    <s v="Medium"/>
    <s v=""/>
  </r>
  <r>
    <n v="10105"/>
    <n v="50"/>
    <n v="100"/>
    <n v="2"/>
    <n v="7208"/>
    <d v="2003-02-11T00:00:00"/>
    <s v="Shipped"/>
    <n v="1"/>
    <n v="2"/>
    <x v="0"/>
    <x v="1"/>
    <n v="136"/>
    <s v="S10_4757"/>
    <s v="Danish Wholesale Imports"/>
    <s v="31 12 3555"/>
    <s v="Vinb'ltet 34"/>
    <m/>
    <s v="Kobenhavn"/>
    <m/>
    <n v="1734"/>
    <x v="13"/>
    <s v="EMEA"/>
    <s v="Petersen"/>
    <s v="Jytte"/>
    <s v="Large"/>
    <s v=""/>
  </r>
  <r>
    <n v="10119"/>
    <n v="46"/>
    <n v="100"/>
    <n v="11"/>
    <n v="5004.8"/>
    <d v="2003-04-28T00:00:00"/>
    <s v="Shipped"/>
    <n v="2"/>
    <n v="4"/>
    <x v="0"/>
    <x v="1"/>
    <n v="136"/>
    <s v="S10_4757"/>
    <s v="Salzburg Collectables"/>
    <s v="6562-9555"/>
    <s v="Geislweg 14"/>
    <m/>
    <s v="Salzburg"/>
    <m/>
    <n v="5020"/>
    <x v="5"/>
    <s v="EMEA"/>
    <s v="Pipps"/>
    <s v="Georg"/>
    <s v="Medium"/>
    <s v=""/>
  </r>
  <r>
    <n v="10129"/>
    <n v="33"/>
    <n v="100"/>
    <n v="2"/>
    <n v="4398.24"/>
    <d v="2003-06-12T00:00:00"/>
    <s v="Shipped"/>
    <n v="2"/>
    <n v="6"/>
    <x v="0"/>
    <x v="1"/>
    <n v="136"/>
    <s v="S10_4757"/>
    <s v="Stylish Desk Decors, Co."/>
    <s v="(171) 555-0297"/>
    <s v="35 King George"/>
    <m/>
    <s v="London"/>
    <m/>
    <s v="WX3 6FW"/>
    <x v="6"/>
    <s v="EMEA"/>
    <s v="Brown"/>
    <s v="Ann"/>
    <s v="Medium"/>
    <s v=""/>
  </r>
  <r>
    <n v="10143"/>
    <n v="49"/>
    <n v="100"/>
    <n v="15"/>
    <n v="5597.76"/>
    <d v="2003-08-10T00:00:00"/>
    <s v="Shipped"/>
    <n v="3"/>
    <n v="8"/>
    <x v="0"/>
    <x v="1"/>
    <n v="136"/>
    <s v="S10_4757"/>
    <s v="Mini Creations Ltd."/>
    <n v="5085559555"/>
    <s v="4575 Hillside Dr."/>
    <m/>
    <s v="New Bedford"/>
    <s v="MA"/>
    <n v="50553"/>
    <x v="0"/>
    <s v="NA"/>
    <s v="Tam"/>
    <s v="Wing C"/>
    <s v="Medium"/>
    <s v=""/>
  </r>
  <r>
    <n v="10155"/>
    <n v="32"/>
    <n v="100"/>
    <n v="13"/>
    <n v="4526.08"/>
    <d v="2003-10-06T00:00:00"/>
    <s v="Shipped"/>
    <n v="4"/>
    <n v="10"/>
    <x v="0"/>
    <x v="1"/>
    <n v="136"/>
    <s v="S10_4757"/>
    <s v="Toys of Finland, Co."/>
    <s v="90-224 8555"/>
    <s v="Keskuskatu 45"/>
    <m/>
    <s v="Helsinki"/>
    <m/>
    <n v="21240"/>
    <x v="4"/>
    <s v="EMEA"/>
    <s v="Karttunen"/>
    <s v="Matti"/>
    <s v="Medium"/>
    <s v=""/>
  </r>
  <r>
    <n v="10167"/>
    <n v="44"/>
    <n v="100"/>
    <n v="9"/>
    <n v="5924.16"/>
    <d v="2003-10-23T00:00:00"/>
    <s v="Cancelled"/>
    <n v="4"/>
    <n v="10"/>
    <x v="0"/>
    <x v="1"/>
    <n v="136"/>
    <s v="S10_4757"/>
    <s v="Scandinavian Gift Ideas"/>
    <s v="0695-34 6555"/>
    <s v="?kergatan 24"/>
    <m/>
    <s v="Boras"/>
    <m/>
    <s v="S-844 67"/>
    <x v="8"/>
    <s v="EMEA"/>
    <s v="Larsson"/>
    <s v="Maria"/>
    <s v="Medium"/>
    <s v=""/>
  </r>
  <r>
    <n v="10178"/>
    <n v="24"/>
    <n v="100"/>
    <n v="12"/>
    <n v="3492.48"/>
    <d v="2003-11-08T00:00:00"/>
    <s v="Shipped"/>
    <n v="4"/>
    <n v="11"/>
    <x v="0"/>
    <x v="1"/>
    <n v="136"/>
    <s v="S10_4757"/>
    <s v="Alpha Cognac"/>
    <s v="61.77.6555"/>
    <s v="1 rue Alsace-Lorraine"/>
    <m/>
    <s v="Toulouse"/>
    <m/>
    <n v="31000"/>
    <x v="1"/>
    <s v="EMEA"/>
    <s v="Roulet"/>
    <s v="Annette"/>
    <s v="Medium"/>
    <s v=""/>
  </r>
  <r>
    <n v="10186"/>
    <n v="26"/>
    <n v="100"/>
    <n v="9"/>
    <n v="3854.24"/>
    <d v="2003-11-14T00:00:00"/>
    <s v="Shipped"/>
    <n v="4"/>
    <n v="11"/>
    <x v="0"/>
    <x v="1"/>
    <n v="136"/>
    <s v="S10_4757"/>
    <s v="Double Decker Gift Stores, Ltd"/>
    <s v="(171) 555-7555"/>
    <s v="120 Hanover Sq."/>
    <m/>
    <s v="London"/>
    <m/>
    <s v="WA1 1DP"/>
    <x v="6"/>
    <s v="EMEA"/>
    <s v="Hardy"/>
    <s v="Thomas"/>
    <s v="Medium"/>
    <s v=""/>
  </r>
  <r>
    <n v="10197"/>
    <n v="45"/>
    <n v="100"/>
    <n v="6"/>
    <n v="5324.4"/>
    <d v="2003-11-26T00:00:00"/>
    <s v="Shipped"/>
    <n v="4"/>
    <n v="11"/>
    <x v="0"/>
    <x v="1"/>
    <n v="136"/>
    <s v="S10_4757"/>
    <s v="Enaco Distributors"/>
    <s v="(93) 203 4555"/>
    <s v="Rambla de Catalu¤a, 23"/>
    <m/>
    <s v="Barcelona"/>
    <m/>
    <n v="8022"/>
    <x v="7"/>
    <s v="EMEA"/>
    <s v="Saavedra"/>
    <s v="Eduardo"/>
    <s v="Medium"/>
    <s v=""/>
  </r>
  <r>
    <n v="10209"/>
    <n v="39"/>
    <n v="100"/>
    <n v="8"/>
    <n v="5197.92"/>
    <d v="2004-01-09T00:00:00"/>
    <s v="Shipped"/>
    <n v="1"/>
    <n v="1"/>
    <x v="1"/>
    <x v="1"/>
    <n v="136"/>
    <s v="S10_4757"/>
    <s v="Men 'R' US Retailers, Ltd."/>
    <n v="2155554369"/>
    <s v="6047 Douglas Av."/>
    <m/>
    <s v="Los Angeles"/>
    <s v="CA"/>
    <m/>
    <x v="0"/>
    <s v="NA"/>
    <s v="Chandler"/>
    <s v="Michael"/>
    <s v="Medium"/>
    <s v=""/>
  </r>
  <r>
    <n v="10222"/>
    <n v="49"/>
    <n v="100"/>
    <n v="12"/>
    <n v="5997.6"/>
    <d v="2004-02-19T00:00:00"/>
    <s v="Shipped"/>
    <n v="1"/>
    <n v="2"/>
    <x v="1"/>
    <x v="1"/>
    <n v="136"/>
    <s v="S10_4757"/>
    <s v="Collectable Mini Designs Co."/>
    <n v="7605558146"/>
    <s v="361 Furth Circle"/>
    <m/>
    <s v="San Diego"/>
    <s v="CA"/>
    <n v="91217"/>
    <x v="0"/>
    <s v="NA"/>
    <s v="Thompson"/>
    <s v="Valarie"/>
    <s v="Medium"/>
    <s v=""/>
  </r>
  <r>
    <n v="10248"/>
    <n v="20"/>
    <n v="100"/>
    <n v="3"/>
    <n v="2910.4"/>
    <d v="2004-05-07T00:00:00"/>
    <s v="Cancelled"/>
    <n v="2"/>
    <n v="5"/>
    <x v="1"/>
    <x v="1"/>
    <n v="136"/>
    <s v="S10_4757"/>
    <s v="Land of Toys Inc."/>
    <n v="2125557818"/>
    <s v="897 Long Airport Avenue"/>
    <m/>
    <s v="NYC"/>
    <s v="NY"/>
    <n v="10022"/>
    <x v="0"/>
    <s v="NA"/>
    <s v="Yu"/>
    <s v="Kwai"/>
    <s v="Small"/>
    <s v=""/>
  </r>
  <r>
    <n v="10261"/>
    <n v="27"/>
    <n v="100"/>
    <n v="1"/>
    <n v="3378.24"/>
    <d v="2004-06-17T00:00:00"/>
    <s v="Shipped"/>
    <n v="2"/>
    <n v="6"/>
    <x v="1"/>
    <x v="1"/>
    <n v="136"/>
    <s v="S10_4757"/>
    <s v="Quebec Home Shopping Network"/>
    <s v="(514) 555-8054"/>
    <s v="43 rue St. Laurent"/>
    <m/>
    <s v="Montreal"/>
    <s v="Quebec"/>
    <s v="H1J 1C3"/>
    <x v="10"/>
    <s v="NA"/>
    <s v="Fresnisre"/>
    <s v="Jean"/>
    <s v="Medium"/>
    <s v=""/>
  </r>
  <r>
    <n v="10273"/>
    <n v="30"/>
    <n v="100"/>
    <n v="4"/>
    <n v="3508.8"/>
    <d v="2004-07-21T00:00:00"/>
    <s v="Shipped"/>
    <n v="3"/>
    <n v="7"/>
    <x v="1"/>
    <x v="1"/>
    <n v="136"/>
    <s v="S10_4757"/>
    <s v="Petit Auto"/>
    <s v="(02) 5554 67"/>
    <s v="Rue Joseph-Bens 532"/>
    <m/>
    <s v="Bruxelles"/>
    <m/>
    <s v="B-1180"/>
    <x v="14"/>
    <s v="EMEA"/>
    <s v="Dewey"/>
    <s v="Catherine"/>
    <s v="Medium"/>
    <s v=""/>
  </r>
  <r>
    <n v="10283"/>
    <n v="25"/>
    <n v="100"/>
    <n v="6"/>
    <n v="2992"/>
    <d v="2004-08-20T00:00:00"/>
    <s v="Shipped"/>
    <n v="3"/>
    <n v="8"/>
    <x v="1"/>
    <x v="1"/>
    <n v="136"/>
    <s v="S10_4757"/>
    <s v="Royal Canadian Collectables, Ltd."/>
    <s v="(604) 555-4555"/>
    <s v="23 Tsawassen Blvd."/>
    <m/>
    <s v="Tsawassen"/>
    <s v="BC"/>
    <s v="T2F 8M4"/>
    <x v="10"/>
    <s v="NA"/>
    <s v="Lincoln"/>
    <s v="Elizabeth"/>
    <s v="Small"/>
    <s v=""/>
  </r>
  <r>
    <n v="10295"/>
    <n v="24"/>
    <n v="100"/>
    <n v="1"/>
    <n v="3427.2"/>
    <d v="2004-09-10T00:00:00"/>
    <s v="Shipped"/>
    <n v="3"/>
    <n v="9"/>
    <x v="1"/>
    <x v="1"/>
    <n v="136"/>
    <s v="S10_4757"/>
    <s v="Gifts4AllAges.com"/>
    <n v="6175559555"/>
    <s v="8616 Spinnaker Dr."/>
    <m/>
    <s v="Boston"/>
    <s v="MA"/>
    <n v="51003"/>
    <x v="0"/>
    <s v="NA"/>
    <s v="Yoshido"/>
    <s v="Juri"/>
    <s v="Medium"/>
    <s v=""/>
  </r>
  <r>
    <n v="10307"/>
    <n v="22"/>
    <n v="100"/>
    <n v="9"/>
    <n v="2692.8"/>
    <d v="2004-10-14T00:00:00"/>
    <s v="Shipped"/>
    <n v="4"/>
    <n v="10"/>
    <x v="1"/>
    <x v="1"/>
    <n v="136"/>
    <s v="S10_4757"/>
    <s v="Classic Gift Ideas, Inc"/>
    <n v="2155554695"/>
    <s v="782 First Street"/>
    <m/>
    <s v="Philadelphia"/>
    <s v="PA"/>
    <n v="71270"/>
    <x v="0"/>
    <s v="NA"/>
    <s v="Cervantes"/>
    <s v="Francisca"/>
    <s v="Small"/>
    <s v=""/>
  </r>
  <r>
    <n v="10316"/>
    <n v="33"/>
    <n v="100"/>
    <n v="17"/>
    <n v="4128.96"/>
    <d v="2004-11-01T00:00:00"/>
    <s v="Shipped"/>
    <n v="4"/>
    <n v="11"/>
    <x v="1"/>
    <x v="1"/>
    <n v="136"/>
    <s v="S10_4757"/>
    <s v="giftsbymail.co.uk"/>
    <s v="(198) 555-8888"/>
    <s v="Garden House Crowther Way"/>
    <m/>
    <s v="Cowes"/>
    <s v="Isle of Wight"/>
    <s v="PO31 7PJ"/>
    <x v="6"/>
    <s v="EMEA"/>
    <s v="Bennett"/>
    <s v="Helen"/>
    <s v="Medium"/>
    <s v=""/>
  </r>
  <r>
    <n v="10325"/>
    <n v="47"/>
    <n v="64.930000000000007"/>
    <n v="6"/>
    <n v="3051.71"/>
    <d v="2004-11-05T00:00:00"/>
    <s v="Shipped"/>
    <n v="4"/>
    <n v="11"/>
    <x v="1"/>
    <x v="1"/>
    <n v="136"/>
    <s v="S10_4757"/>
    <s v="Baane Mini Imports"/>
    <s v="07-98 9555"/>
    <s v="Erling Skakkes gate 78"/>
    <m/>
    <s v="Stavern"/>
    <m/>
    <n v="4110"/>
    <x v="2"/>
    <s v="EMEA"/>
    <s v="Bergulfsen"/>
    <s v="Jonas"/>
    <s v="Medium"/>
    <s v=""/>
  </r>
  <r>
    <n v="10337"/>
    <n v="25"/>
    <n v="48.05"/>
    <n v="8"/>
    <n v="1201.25"/>
    <d v="2004-11-21T00:00:00"/>
    <s v="Shipped"/>
    <n v="4"/>
    <n v="11"/>
    <x v="1"/>
    <x v="1"/>
    <n v="136"/>
    <s v="S10_4757"/>
    <s v="Classic Legends Inc."/>
    <n v="2125558493"/>
    <s v="5905 Pompton St."/>
    <s v="Suite 750"/>
    <s v="NYC"/>
    <s v="NY"/>
    <n v="10022"/>
    <x v="0"/>
    <s v="NA"/>
    <s v="Hernandez"/>
    <s v="Maria"/>
    <s v="Small"/>
    <s v=""/>
  </r>
  <r>
    <n v="10350"/>
    <n v="26"/>
    <n v="75.47"/>
    <n v="5"/>
    <n v="1962.22"/>
    <d v="2004-12-02T00:00:00"/>
    <s v="Shipped"/>
    <n v="4"/>
    <n v="12"/>
    <x v="1"/>
    <x v="1"/>
    <n v="136"/>
    <s v="S10_4757"/>
    <s v="Euro Shopping Channel"/>
    <s v="(91) 555 94 44"/>
    <s v="C/ Moralzarzal, 86"/>
    <m/>
    <s v="Madrid"/>
    <m/>
    <n v="28034"/>
    <x v="7"/>
    <s v="EMEA"/>
    <s v="Freyre"/>
    <s v="Diego"/>
    <s v="Small"/>
    <s v=""/>
  </r>
  <r>
    <n v="10359"/>
    <n v="48"/>
    <n v="54.68"/>
    <n v="6"/>
    <n v="2624.64"/>
    <d v="2004-12-15T00:00:00"/>
    <s v="Shipped"/>
    <n v="4"/>
    <n v="12"/>
    <x v="1"/>
    <x v="1"/>
    <n v="136"/>
    <s v="S10_4757"/>
    <s v="Reims Collectables"/>
    <s v="26.47.1555"/>
    <s v="59 rue de l'Abbaye"/>
    <m/>
    <s v="Reims"/>
    <m/>
    <n v="51100"/>
    <x v="1"/>
    <s v="EMEA"/>
    <s v="Henriot"/>
    <s v="Paul"/>
    <s v="Small"/>
    <s v=""/>
  </r>
  <r>
    <n v="10373"/>
    <n v="39"/>
    <n v="100"/>
    <n v="3"/>
    <n v="4046.25"/>
    <d v="2005-01-31T00:00:00"/>
    <s v="Shipped"/>
    <n v="1"/>
    <n v="1"/>
    <x v="2"/>
    <x v="1"/>
    <n v="136"/>
    <s v="S10_4757"/>
    <s v="Oulu Toy Supplies, Inc."/>
    <s v="981-443655"/>
    <s v="Torikatu 38"/>
    <m/>
    <s v="Oulu"/>
    <m/>
    <n v="90110"/>
    <x v="4"/>
    <s v="EMEA"/>
    <s v="Koskitalo"/>
    <s v="Pirkko"/>
    <s v="Medium"/>
    <s v=""/>
  </r>
  <r>
    <n v="10384"/>
    <n v="34"/>
    <n v="100"/>
    <n v="4"/>
    <n v="4846.7"/>
    <d v="2005-02-23T00:00:00"/>
    <s v="Shipped"/>
    <n v="1"/>
    <n v="2"/>
    <x v="2"/>
    <x v="1"/>
    <n v="136"/>
    <s v="S10_4757"/>
    <s v="Corporate Gift Ideas Co."/>
    <n v="6505551386"/>
    <s v="7734 Strong St."/>
    <m/>
    <s v="San Francisco"/>
    <s v="CA"/>
    <m/>
    <x v="0"/>
    <s v="NA"/>
    <s v="Brown"/>
    <s v="Julie"/>
    <s v="Medium"/>
    <s v=""/>
  </r>
  <r>
    <n v="10395"/>
    <n v="32"/>
    <n v="100"/>
    <n v="2"/>
    <n v="3370.56"/>
    <d v="2005-03-17T00:00:00"/>
    <s v="Shipped"/>
    <n v="1"/>
    <n v="3"/>
    <x v="2"/>
    <x v="1"/>
    <n v="136"/>
    <s v="S10_4757"/>
    <s v="Lyon Souveniers"/>
    <s v="+33 1 46 62 7555"/>
    <s v="27 rue du Colonel Pierre Avia"/>
    <m/>
    <s v="Paris"/>
    <m/>
    <n v="75508"/>
    <x v="1"/>
    <s v="EMEA"/>
    <s v="Da Cunha"/>
    <s v="Daniel"/>
    <s v="Medium"/>
    <s v=""/>
  </r>
  <r>
    <n v="10400"/>
    <n v="64"/>
    <n v="100"/>
    <n v="9"/>
    <n v="9661.44"/>
    <d v="2005-04-01T00:00:00"/>
    <s v="Shipped"/>
    <n v="2"/>
    <n v="4"/>
    <x v="2"/>
    <x v="1"/>
    <n v="136"/>
    <s v="S10_4757"/>
    <s v="The Sharp Gifts Warehouse"/>
    <n v="4085553659"/>
    <s v="3086 Ingle Ln."/>
    <m/>
    <s v="San Jose"/>
    <s v="CA"/>
    <n v="94217"/>
    <x v="0"/>
    <s v="NA"/>
    <s v="Frick"/>
    <s v="Sue"/>
    <s v="Large"/>
    <s v=""/>
  </r>
  <r>
    <n v="10414"/>
    <n v="19"/>
    <n v="100"/>
    <n v="3"/>
    <n v="2764.88"/>
    <d v="2005-05-06T00:00:00"/>
    <s v="On Hold"/>
    <n v="2"/>
    <n v="5"/>
    <x v="2"/>
    <x v="1"/>
    <n v="136"/>
    <s v="S10_4757"/>
    <s v="Gifts4AllAges.com"/>
    <n v="6175559555"/>
    <s v="8616 Spinnaker Dr."/>
    <m/>
    <s v="Boston"/>
    <s v="MA"/>
    <n v="51003"/>
    <x v="0"/>
    <s v="NA"/>
    <s v="Yoshido"/>
    <s v="Juri"/>
    <s v="Small"/>
    <s v=""/>
  </r>
  <r>
    <n v="10114"/>
    <n v="31"/>
    <n v="100"/>
    <n v="8"/>
    <n v="4305.28"/>
    <d v="2003-04-01T00:00:00"/>
    <s v="Shipped"/>
    <n v="2"/>
    <n v="4"/>
    <x v="0"/>
    <x v="1"/>
    <n v="147"/>
    <s v="S10_4962"/>
    <s v="La Corne D'abondance, Co."/>
    <s v="(1) 42.34.2555"/>
    <s v="265, boulevard Charonne"/>
    <m/>
    <s v="Paris"/>
    <m/>
    <n v="75012"/>
    <x v="1"/>
    <s v="EMEA"/>
    <s v="Bertrand"/>
    <s v="Marie"/>
    <s v="Medium"/>
    <s v=""/>
  </r>
  <r>
    <n v="10164"/>
    <n v="21"/>
    <n v="100"/>
    <n v="2"/>
    <n v="3536.82"/>
    <d v="2003-10-21T00:00:00"/>
    <s v="Resolved"/>
    <n v="4"/>
    <n v="10"/>
    <x v="0"/>
    <x v="1"/>
    <n v="147"/>
    <s v="S10_4962"/>
    <s v="Mini Auto Werke"/>
    <s v="7675-3555"/>
    <s v="Kirchgasse 6"/>
    <m/>
    <s v="Graz"/>
    <m/>
    <n v="8010"/>
    <x v="5"/>
    <s v="EMEA"/>
    <s v="Mendel"/>
    <s v="Roland"/>
    <s v="Medium"/>
    <s v=""/>
  </r>
  <r>
    <n v="10175"/>
    <n v="33"/>
    <n v="100"/>
    <n v="9"/>
    <n v="5362.83"/>
    <d v="2003-11-06T00:00:00"/>
    <s v="Shipped"/>
    <n v="4"/>
    <n v="11"/>
    <x v="0"/>
    <x v="1"/>
    <n v="147"/>
    <s v="S10_4962"/>
    <s v="Stylish Desk Decors, Co."/>
    <s v="(171) 555-0297"/>
    <s v="35 King George"/>
    <m/>
    <s v="London"/>
    <m/>
    <s v="WX3 6FW"/>
    <x v="6"/>
    <s v="EMEA"/>
    <s v="Brown"/>
    <s v="Ann"/>
    <s v="Medium"/>
    <s v=""/>
  </r>
  <r>
    <n v="10207"/>
    <n v="31"/>
    <n v="100"/>
    <n v="15"/>
    <n v="4076.19"/>
    <d v="2003-12-09T00:00:00"/>
    <s v="Shipped"/>
    <n v="4"/>
    <n v="12"/>
    <x v="0"/>
    <x v="1"/>
    <n v="147"/>
    <s v="S10_4962"/>
    <s v="Diecast Collectables"/>
    <n v="6175552555"/>
    <s v="6251 Ingle Ln."/>
    <m/>
    <s v="Boston"/>
    <s v="MA"/>
    <n v="51003"/>
    <x v="0"/>
    <s v="NA"/>
    <s v="Franco"/>
    <s v="Valarie"/>
    <s v="Medium"/>
    <s v=""/>
  </r>
  <r>
    <n v="10217"/>
    <n v="48"/>
    <n v="100"/>
    <n v="4"/>
    <n v="7020.48"/>
    <d v="2004-02-04T00:00:00"/>
    <s v="Shipped"/>
    <n v="1"/>
    <n v="2"/>
    <x v="1"/>
    <x v="1"/>
    <n v="147"/>
    <s v="S10_4962"/>
    <s v="Handji Gifts&amp; Co"/>
    <s v="+65 224 1555"/>
    <s v="Village Close - 106 Linden Road Sandown"/>
    <s v="2nd Floor"/>
    <s v="Singapore"/>
    <m/>
    <n v="69045"/>
    <x v="9"/>
    <s v="APAC"/>
    <s v="Victorino"/>
    <s v="Wendy"/>
    <s v="Large"/>
    <s v=""/>
  </r>
  <r>
    <n v="10229"/>
    <n v="50"/>
    <n v="100"/>
    <n v="9"/>
    <n v="6426.5"/>
    <d v="2004-03-11T00:00:00"/>
    <s v="Shipped"/>
    <n v="1"/>
    <n v="3"/>
    <x v="1"/>
    <x v="1"/>
    <n v="147"/>
    <s v="S10_4962"/>
    <s v="Mini Gifts Distributors Ltd."/>
    <n v="4155551450"/>
    <s v="5677 Strong St."/>
    <m/>
    <s v="San Rafael"/>
    <s v="CA"/>
    <n v="97562"/>
    <x v="0"/>
    <s v="NA"/>
    <s v="Nelson"/>
    <s v="Valarie"/>
    <s v="Medium"/>
    <s v=""/>
  </r>
  <r>
    <n v="10259"/>
    <n v="26"/>
    <n v="100"/>
    <n v="12"/>
    <n v="4033.38"/>
    <d v="2004-06-15T00:00:00"/>
    <s v="Shipped"/>
    <n v="2"/>
    <n v="6"/>
    <x v="1"/>
    <x v="1"/>
    <n v="147"/>
    <s v="S10_4962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  <s v=""/>
  </r>
  <r>
    <n v="10281"/>
    <n v="44"/>
    <n v="100"/>
    <n v="9"/>
    <n v="7020.64"/>
    <d v="2004-08-19T00:00:00"/>
    <s v="Shipped"/>
    <n v="3"/>
    <n v="8"/>
    <x v="1"/>
    <x v="1"/>
    <n v="147"/>
    <s v="S10_4962"/>
    <s v="Diecast Classics Inc."/>
    <n v="2155551555"/>
    <s v="7586 Pompton St."/>
    <m/>
    <s v="Allentown"/>
    <s v="PA"/>
    <n v="70267"/>
    <x v="0"/>
    <s v="NA"/>
    <s v="Yu"/>
    <s v="Kyung"/>
    <s v="Large"/>
    <s v=""/>
  </r>
  <r>
    <n v="10305"/>
    <n v="38"/>
    <n v="100"/>
    <n v="13"/>
    <n v="6680.78"/>
    <d v="2004-10-13T00:00:00"/>
    <s v="Shipped"/>
    <n v="4"/>
    <n v="10"/>
    <x v="1"/>
    <x v="1"/>
    <n v="147"/>
    <s v="S10_4962"/>
    <s v="Marta's Replicas Co."/>
    <n v="6175558555"/>
    <s v="39323 Spinnaker Dr."/>
    <m/>
    <s v="Cambridge"/>
    <s v="MA"/>
    <n v="51247"/>
    <x v="0"/>
    <s v="NA"/>
    <s v="Hernandez"/>
    <s v="Marta"/>
    <s v="Medium"/>
    <s v=""/>
  </r>
  <r>
    <n v="10313"/>
    <n v="40"/>
    <n v="100"/>
    <n v="7"/>
    <n v="6678"/>
    <d v="2004-10-22T00:00:00"/>
    <s v="Shipped"/>
    <n v="4"/>
    <n v="10"/>
    <x v="1"/>
    <x v="1"/>
    <n v="147"/>
    <s v="S10_4962"/>
    <s v="Canadian Gift Exchange Network"/>
    <s v="(604) 555-3392"/>
    <s v="1900 Oak St."/>
    <m/>
    <s v="Vancouver"/>
    <s v="BC"/>
    <s v="V3F 2K1"/>
    <x v="10"/>
    <s v="NA"/>
    <s v="Tannamuri"/>
    <s v="Yoshi"/>
    <s v="Medium"/>
    <s v=""/>
  </r>
  <r>
    <n v="10334"/>
    <n v="26"/>
    <n v="100"/>
    <n v="2"/>
    <n v="3188.12"/>
    <d v="2004-11-19T00:00:00"/>
    <s v="On Hold"/>
    <n v="4"/>
    <n v="11"/>
    <x v="1"/>
    <x v="1"/>
    <n v="147"/>
    <s v="S10_4962"/>
    <s v="Volvo Model Replicas, Co"/>
    <s v="0921-12 3555"/>
    <s v="Berguvsv„gen  8"/>
    <m/>
    <s v="Lule"/>
    <m/>
    <s v="S-958 22"/>
    <x v="8"/>
    <s v="EMEA"/>
    <s v="Berglund"/>
    <s v="Christina"/>
    <s v="Medium"/>
    <s v=""/>
  </r>
  <r>
    <n v="10370"/>
    <n v="35"/>
    <n v="65.63"/>
    <n v="4"/>
    <n v="2297.0500000000002"/>
    <d v="2005-01-20T00:00:00"/>
    <s v="Shipped"/>
    <n v="1"/>
    <n v="1"/>
    <x v="2"/>
    <x v="1"/>
    <n v="147"/>
    <s v="S10_4962"/>
    <s v="Anna's Decorations, Ltd"/>
    <s v="02 9936 8555"/>
    <s v="201 Miller Street"/>
    <s v="Level 15"/>
    <s v="North Sydney"/>
    <s v="NSW"/>
    <n v="2060"/>
    <x v="3"/>
    <s v="APAC"/>
    <s v="O'Hara"/>
    <s v="Anna"/>
    <s v="Small"/>
    <s v=""/>
  </r>
  <r>
    <n v="10425"/>
    <n v="38"/>
    <n v="100"/>
    <n v="12"/>
    <n v="5894.94"/>
    <d v="2005-05-31T00:00:00"/>
    <s v="In Process"/>
    <n v="2"/>
    <n v="5"/>
    <x v="2"/>
    <x v="1"/>
    <n v="147"/>
    <s v="S10_4962"/>
    <s v="La Rochelle Gifts"/>
    <s v="40.67.8555"/>
    <s v="67, rue des Cinquante Otages"/>
    <m/>
    <s v="Nantes"/>
    <m/>
    <n v="44000"/>
    <x v="1"/>
    <s v="EMEA"/>
    <s v="Labrune"/>
    <s v="Janine"/>
    <s v="Medium"/>
    <s v=""/>
  </r>
  <r>
    <n v="10108"/>
    <n v="33"/>
    <n v="100"/>
    <n v="6"/>
    <n v="5265.15"/>
    <d v="2003-03-03T00:00:00"/>
    <s v="Shipped"/>
    <n v="1"/>
    <n v="3"/>
    <x v="0"/>
    <x v="1"/>
    <n v="194"/>
    <s v="S12_1099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  <s v=""/>
  </r>
  <r>
    <n v="10122"/>
    <n v="42"/>
    <n v="100"/>
    <n v="10"/>
    <n v="7599.9"/>
    <d v="2003-05-08T00:00:00"/>
    <s v="Shipped"/>
    <n v="2"/>
    <n v="5"/>
    <x v="0"/>
    <x v="1"/>
    <n v="194"/>
    <s v="S12_1099"/>
    <s v="Marseille Mini Autos"/>
    <s v="91.24.4555"/>
    <s v="12, rue des Bouchers"/>
    <m/>
    <s v="Marseille"/>
    <m/>
    <n v="13008"/>
    <x v="1"/>
    <s v="EMEA"/>
    <s v="Lebihan"/>
    <s v="Laurence"/>
    <s v="Large"/>
    <s v=""/>
  </r>
  <r>
    <n v="10135"/>
    <n v="42"/>
    <n v="100"/>
    <n v="7"/>
    <n v="8008.56"/>
    <d v="2003-07-02T00:00:00"/>
    <s v="Shipped"/>
    <n v="3"/>
    <n v="7"/>
    <x v="0"/>
    <x v="1"/>
    <n v="194"/>
    <s v="S12_1099"/>
    <s v="Mini Gifts Distributors Ltd."/>
    <n v="4155551450"/>
    <s v="5677 Strong St."/>
    <m/>
    <s v="San Rafael"/>
    <s v="CA"/>
    <n v="97562"/>
    <x v="0"/>
    <s v="NA"/>
    <s v="Nelson"/>
    <s v="Valarie"/>
    <s v="Large"/>
    <s v=""/>
  </r>
  <r>
    <n v="10147"/>
    <n v="48"/>
    <n v="100"/>
    <n v="7"/>
    <n v="9245.76"/>
    <d v="2003-09-05T00:00:00"/>
    <s v="Shipped"/>
    <n v="3"/>
    <n v="9"/>
    <x v="0"/>
    <x v="1"/>
    <n v="194"/>
    <s v="S12_1099"/>
    <s v="Collectables For Less Inc."/>
    <n v="6175558555"/>
    <s v="7825 Douglas Av."/>
    <m/>
    <s v="Brickhaven"/>
    <s v="MA"/>
    <n v="58339"/>
    <x v="0"/>
    <s v="NA"/>
    <s v="Nelson"/>
    <s v="Allen"/>
    <s v="Large"/>
    <s v=""/>
  </r>
  <r>
    <n v="10169"/>
    <n v="30"/>
    <n v="100"/>
    <n v="2"/>
    <n v="5019.8999999999996"/>
    <d v="2003-11-04T00:00:00"/>
    <s v="Shipped"/>
    <n v="4"/>
    <n v="11"/>
    <x v="0"/>
    <x v="1"/>
    <n v="194"/>
    <s v="S12_1099"/>
    <s v="Anna's Decorations, Ltd"/>
    <s v="02 9936 8555"/>
    <s v="201 Miller Street"/>
    <s v="Level 15"/>
    <s v="North Sydney"/>
    <s v="NSW"/>
    <n v="2060"/>
    <x v="3"/>
    <s v="APAC"/>
    <s v="O'Hara"/>
    <s v="Anna"/>
    <s v="Medium"/>
    <s v=""/>
  </r>
  <r>
    <n v="10181"/>
    <n v="27"/>
    <n v="100"/>
    <n v="14"/>
    <n v="5411.07"/>
    <d v="2003-11-12T00:00:00"/>
    <s v="Shipped"/>
    <n v="4"/>
    <n v="11"/>
    <x v="0"/>
    <x v="1"/>
    <n v="194"/>
    <s v="S12_1099"/>
    <s v="Herkku Gifts"/>
    <s v="+47 2267 3215"/>
    <s v="Drammen 121, PR 744 Sentrum"/>
    <m/>
    <s v="Bergen"/>
    <m/>
    <s v="N 5804"/>
    <x v="2"/>
    <s v="EMEA"/>
    <s v="Oeztan"/>
    <s v="Veysel"/>
    <s v="Medium"/>
    <s v=""/>
  </r>
  <r>
    <n v="10191"/>
    <n v="21"/>
    <n v="100"/>
    <n v="3"/>
    <n v="3840.9"/>
    <d v="2003-11-20T00:00:00"/>
    <s v="Shipped"/>
    <n v="4"/>
    <n v="11"/>
    <x v="0"/>
    <x v="1"/>
    <n v="194"/>
    <s v="S12_1099"/>
    <s v="Toms Spezialitten, Ltd"/>
    <s v="0221-5554327"/>
    <s v="Mehrheimerstr. 369"/>
    <m/>
    <s v="Koln"/>
    <m/>
    <n v="50739"/>
    <x v="16"/>
    <s v="EMEA"/>
    <s v="Pfalzheim"/>
    <s v="Henriette"/>
    <s v="Medium"/>
    <s v=""/>
  </r>
  <r>
    <n v="10203"/>
    <n v="20"/>
    <n v="100"/>
    <n v="8"/>
    <n v="3930.4"/>
    <d v="2003-12-02T00:00:00"/>
    <s v="Shipped"/>
    <n v="4"/>
    <n v="12"/>
    <x v="0"/>
    <x v="1"/>
    <n v="194"/>
    <s v="S12_1099"/>
    <s v="Euro Shopping Channel"/>
    <s v="(91) 555 94 44"/>
    <s v="C/ Moralzarzal, 86"/>
    <m/>
    <s v="Madrid"/>
    <m/>
    <n v="28034"/>
    <x v="7"/>
    <s v="EMEA"/>
    <s v="Freyre"/>
    <s v="Diego"/>
    <s v="Medium"/>
    <s v=""/>
  </r>
  <r>
    <n v="10225"/>
    <n v="27"/>
    <n v="100"/>
    <n v="9"/>
    <n v="4517.91"/>
    <d v="2004-02-22T00:00:00"/>
    <s v="Shipped"/>
    <n v="1"/>
    <n v="2"/>
    <x v="1"/>
    <x v="1"/>
    <n v="194"/>
    <s v="S12_1099"/>
    <s v="Vida Sport, Ltd"/>
    <s v="0897-034555"/>
    <s v="Grenzacherweg 237"/>
    <m/>
    <s v="Gensve"/>
    <m/>
    <n v="1203"/>
    <x v="17"/>
    <s v="EMEA"/>
    <s v="Holz"/>
    <s v="Michael"/>
    <s v="Medium"/>
    <s v=""/>
  </r>
  <r>
    <n v="10238"/>
    <n v="28"/>
    <n v="100"/>
    <n v="3"/>
    <n v="5774.72"/>
    <d v="2004-04-09T00:00:00"/>
    <s v="Shipped"/>
    <n v="2"/>
    <n v="4"/>
    <x v="1"/>
    <x v="1"/>
    <n v="194"/>
    <s v="S12_1099"/>
    <s v="Danish Wholesale Imports"/>
    <s v="31 12 3555"/>
    <s v="Vinb'ltet 34"/>
    <m/>
    <s v="Kobenhavn"/>
    <m/>
    <n v="1734"/>
    <x v="13"/>
    <s v="EMEA"/>
    <s v="Petersen"/>
    <s v="Jytte"/>
    <s v="Medium"/>
    <s v=""/>
  </r>
  <r>
    <n v="10253"/>
    <n v="24"/>
    <n v="100"/>
    <n v="13"/>
    <n v="3922.56"/>
    <d v="2004-06-01T00:00:00"/>
    <s v="Cancelled"/>
    <n v="2"/>
    <n v="6"/>
    <x v="1"/>
    <x v="1"/>
    <n v="194"/>
    <s v="S12_1099"/>
    <s v="UK Collectables, Ltd."/>
    <s v="(171) 555-2282"/>
    <s v="Berkeley Gardens 12  Brewery"/>
    <m/>
    <s v="Liverpool"/>
    <m/>
    <s v="WX1 6LT"/>
    <x v="6"/>
    <s v="EMEA"/>
    <s v="Devon"/>
    <s v="Elizabeth"/>
    <s v="Medium"/>
    <s v=""/>
  </r>
  <r>
    <n v="10266"/>
    <n v="44"/>
    <n v="100"/>
    <n v="14"/>
    <n v="9160.36"/>
    <d v="2004-07-06T00:00:00"/>
    <s v="Shipped"/>
    <n v="3"/>
    <n v="7"/>
    <x v="1"/>
    <x v="1"/>
    <n v="194"/>
    <s v="S12_1099"/>
    <s v="L'ordine Souveniers"/>
    <s v="0522-556555"/>
    <s v="Strada Provinciale 124"/>
    <m/>
    <s v="Reggio Emilia"/>
    <m/>
    <n v="42100"/>
    <x v="12"/>
    <s v="EMEA"/>
    <s v="Moroni"/>
    <s v="Maurizio"/>
    <s v="Large"/>
    <s v=""/>
  </r>
  <r>
    <n v="10276"/>
    <n v="50"/>
    <n v="100"/>
    <n v="3"/>
    <n v="9631"/>
    <d v="2004-08-02T00:00:00"/>
    <s v="Shipped"/>
    <n v="3"/>
    <n v="8"/>
    <x v="1"/>
    <x v="1"/>
    <n v="194"/>
    <s v="S12_1099"/>
    <s v="Online Mini Collectables"/>
    <n v="6175557555"/>
    <s v="7635 Spinnaker Dr."/>
    <m/>
    <s v="Brickhaven"/>
    <s v="MA"/>
    <n v="58339"/>
    <x v="0"/>
    <s v="NA"/>
    <s v="Barajas"/>
    <s v="Miguel"/>
    <s v="Large"/>
    <s v=""/>
  </r>
  <r>
    <n v="10287"/>
    <n v="21"/>
    <n v="100"/>
    <n v="12"/>
    <n v="3432.24"/>
    <d v="2004-08-30T00:00:00"/>
    <s v="Shipped"/>
    <n v="3"/>
    <n v="8"/>
    <x v="1"/>
    <x v="1"/>
    <n v="194"/>
    <s v="S12_1099"/>
    <s v="Vida Sport, Ltd"/>
    <s v="0897-034555"/>
    <s v="Grenzacherweg 237"/>
    <m/>
    <s v="Gensve"/>
    <m/>
    <n v="1203"/>
    <x v="17"/>
    <s v="EMEA"/>
    <s v="Holz"/>
    <s v="Michael"/>
    <s v="Medium"/>
    <s v=""/>
  </r>
  <r>
    <n v="10300"/>
    <n v="33"/>
    <n v="100"/>
    <n v="5"/>
    <n v="5521.89"/>
    <d v="2003-10-04T00:00:00"/>
    <s v="Shipped"/>
    <n v="4"/>
    <n v="10"/>
    <x v="0"/>
    <x v="1"/>
    <n v="194"/>
    <s v="S12_1099"/>
    <s v="Blauer See Auto, Co."/>
    <s v="+49 69 66 90 2555"/>
    <s v="Lyonerstr. 34"/>
    <m/>
    <s v="Frankfurt"/>
    <m/>
    <n v="60528"/>
    <x v="16"/>
    <s v="EMEA"/>
    <s v="Keitel"/>
    <s v="Roland"/>
    <s v="Medium"/>
    <s v=""/>
  </r>
  <r>
    <n v="10310"/>
    <n v="33"/>
    <n v="100"/>
    <n v="10"/>
    <n v="6934.62"/>
    <d v="2004-10-16T00:00:00"/>
    <s v="Shipped"/>
    <n v="4"/>
    <n v="10"/>
    <x v="1"/>
    <x v="1"/>
    <n v="194"/>
    <s v="S12_1099"/>
    <s v="Toms Spezialitten, Ltd"/>
    <s v="0221-5554327"/>
    <s v="Mehrheimerstr. 369"/>
    <m/>
    <s v="Koln"/>
    <m/>
    <n v="50739"/>
    <x v="16"/>
    <s v="EMEA"/>
    <s v="Pfalzheim"/>
    <s v="Henriette"/>
    <s v="Medium"/>
    <s v=""/>
  </r>
  <r>
    <n v="10320"/>
    <n v="31"/>
    <n v="100"/>
    <n v="3"/>
    <n v="6876.11"/>
    <d v="2004-11-03T00:00:00"/>
    <s v="Shipped"/>
    <n v="4"/>
    <n v="11"/>
    <x v="1"/>
    <x v="1"/>
    <n v="194"/>
    <s v="S12_1099"/>
    <s v="Volvo Model Replicas, Co"/>
    <s v="0921-12 3555"/>
    <s v="Berguvsv„gen  8"/>
    <m/>
    <s v="Lule"/>
    <m/>
    <s v="S-958 22"/>
    <x v="8"/>
    <s v="EMEA"/>
    <s v="Berglund"/>
    <s v="Christina"/>
    <s v="Medium"/>
    <s v=""/>
  </r>
  <r>
    <n v="10363"/>
    <n v="33"/>
    <n v="85.39"/>
    <n v="3"/>
    <n v="2817.87"/>
    <d v="2005-01-06T00:00:00"/>
    <s v="Shipped"/>
    <n v="1"/>
    <n v="1"/>
    <x v="2"/>
    <x v="1"/>
    <n v="194"/>
    <s v="S12_1099"/>
    <s v="Suominen Souveniers"/>
    <s v="+358 9 8045 555"/>
    <s v="Software Engineering Center, SEC Oy"/>
    <m/>
    <s v="Espoo"/>
    <m/>
    <s v="FIN-02271"/>
    <x v="4"/>
    <s v="EMEA"/>
    <s v="Suominen"/>
    <s v="Kalle"/>
    <s v="Small"/>
    <s v=""/>
  </r>
  <r>
    <n v="10389"/>
    <n v="26"/>
    <n v="99.04"/>
    <n v="4"/>
    <n v="2575.04"/>
    <d v="2005-03-03T00:00:00"/>
    <s v="Shipped"/>
    <n v="1"/>
    <n v="3"/>
    <x v="2"/>
    <x v="1"/>
    <n v="194"/>
    <s v="S12_1099"/>
    <s v="Scandinavian Gift Ideas"/>
    <s v="0695-34 6555"/>
    <s v="?kergatan 24"/>
    <m/>
    <s v="Boras"/>
    <m/>
    <s v="S-844 67"/>
    <x v="8"/>
    <s v="EMEA"/>
    <s v="Larsson"/>
    <s v="Maria"/>
    <s v="Small"/>
    <s v=""/>
  </r>
  <r>
    <n v="10419"/>
    <n v="12"/>
    <n v="100"/>
    <n v="13"/>
    <n v="1961.28"/>
    <d v="2005-05-17T00:00:00"/>
    <s v="Shipped"/>
    <n v="2"/>
    <n v="5"/>
    <x v="2"/>
    <x v="1"/>
    <n v="194"/>
    <s v="S12_1099"/>
    <s v="Salzburg Collectables"/>
    <s v="6562-9555"/>
    <s v="Geislweg 14"/>
    <m/>
    <s v="Salzburg"/>
    <m/>
    <n v="5020"/>
    <x v="5"/>
    <s v="EMEA"/>
    <s v="Pipps"/>
    <s v="Georg"/>
    <s v="Small"/>
    <s v=""/>
  </r>
  <r>
    <n v="10117"/>
    <n v="33"/>
    <n v="100"/>
    <n v="9"/>
    <n v="6034.38"/>
    <d v="2003-04-16T00:00:00"/>
    <s v="Shipped"/>
    <n v="2"/>
    <n v="4"/>
    <x v="0"/>
    <x v="1"/>
    <n v="207"/>
    <s v="S12_1108"/>
    <s v="Dragon Souveniers, Ltd."/>
    <s v="+65 221 7555"/>
    <s v="Bronz Sok., Bronz Apt. 3/6 Tesvikiye"/>
    <m/>
    <s v="Singapore"/>
    <m/>
    <n v="79903"/>
    <x v="9"/>
    <s v="Japan"/>
    <s v="Natividad"/>
    <s v="Eric"/>
    <s v="Medium"/>
    <s v=""/>
  </r>
  <r>
    <n v="10127"/>
    <n v="46"/>
    <n v="100"/>
    <n v="2"/>
    <n v="11279.2"/>
    <d v="2003-06-03T00:00:00"/>
    <s v="Shipped"/>
    <n v="2"/>
    <n v="6"/>
    <x v="0"/>
    <x v="1"/>
    <n v="207"/>
    <s v="S12_1108"/>
    <s v="Muscle Machine Inc"/>
    <n v="2125557413"/>
    <s v="4092 Furth Circle"/>
    <s v="Suite 400"/>
    <s v="NYC"/>
    <s v="NY"/>
    <n v="10022"/>
    <x v="0"/>
    <s v="NA"/>
    <s v="Young"/>
    <s v="Jeff"/>
    <s v="Large"/>
    <s v=""/>
  </r>
  <r>
    <n v="10142"/>
    <n v="33"/>
    <n v="100"/>
    <n v="12"/>
    <n v="8023.29"/>
    <d v="2003-08-08T00:00:00"/>
    <s v="Shipped"/>
    <n v="3"/>
    <n v="8"/>
    <x v="0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s v="Large"/>
    <s v=""/>
  </r>
  <r>
    <n v="10153"/>
    <n v="20"/>
    <n v="100"/>
    <n v="11"/>
    <n v="4904"/>
    <d v="2003-09-28T00:00:00"/>
    <s v="Shipped"/>
    <n v="3"/>
    <n v="9"/>
    <x v="0"/>
    <x v="1"/>
    <n v="207"/>
    <s v="S12_1108"/>
    <s v="Euro Shopping Channel"/>
    <s v="(91) 555 94 44"/>
    <s v="C/ Moralzarzal, 86"/>
    <m/>
    <s v="Madrid"/>
    <m/>
    <n v="28034"/>
    <x v="7"/>
    <s v="EMEA"/>
    <s v="Freyre"/>
    <s v="Diego"/>
    <s v="Medium"/>
    <s v=""/>
  </r>
  <r>
    <n v="10165"/>
    <n v="44"/>
    <n v="100"/>
    <n v="3"/>
    <n v="8594.52"/>
    <d v="2003-10-22T00:00:00"/>
    <s v="Shipped"/>
    <n v="4"/>
    <n v="10"/>
    <x v="0"/>
    <x v="1"/>
    <n v="207"/>
    <s v="S12_1108"/>
    <s v="Dragon Souveniers, Ltd."/>
    <s v="+65 221 7555"/>
    <s v="Bronz Sok., Bronz Apt. 3/6 Tesvikiye"/>
    <m/>
    <s v="Singapore"/>
    <m/>
    <n v="79903"/>
    <x v="9"/>
    <s v="Japan"/>
    <s v="Natividad"/>
    <s v="Eric"/>
    <s v="Large"/>
    <s v=""/>
  </r>
  <r>
    <n v="10176"/>
    <n v="33"/>
    <n v="100"/>
    <n v="2"/>
    <n v="7474.5"/>
    <d v="2003-11-06T00:00:00"/>
    <s v="Shipped"/>
    <n v="4"/>
    <n v="11"/>
    <x v="0"/>
    <x v="1"/>
    <n v="207"/>
    <s v="S12_1108"/>
    <s v="L'ordine Souveniers"/>
    <s v="0522-556555"/>
    <s v="Strada Provinciale 124"/>
    <m/>
    <s v="Reggio Emilia"/>
    <m/>
    <n v="42100"/>
    <x v="12"/>
    <s v="EMEA"/>
    <s v="Moroni"/>
    <s v="Maurizio"/>
    <s v="Large"/>
    <s v=""/>
  </r>
  <r>
    <n v="10185"/>
    <n v="21"/>
    <n v="100"/>
    <n v="13"/>
    <n v="3883.74"/>
    <d v="2003-11-14T00:00:00"/>
    <s v="Shipped"/>
    <n v="4"/>
    <n v="11"/>
    <x v="0"/>
    <x v="1"/>
    <n v="207"/>
    <s v="S12_1108"/>
    <s v="Mini Creations Ltd."/>
    <n v="5085559555"/>
    <s v="4575 Hillside Dr."/>
    <m/>
    <s v="New Bedford"/>
    <s v="MA"/>
    <n v="50553"/>
    <x v="0"/>
    <s v="NA"/>
    <s v="Tam"/>
    <s v="Wing C"/>
    <s v="Medium"/>
    <s v=""/>
  </r>
  <r>
    <n v="10196"/>
    <n v="47"/>
    <n v="100"/>
    <n v="5"/>
    <n v="8887.7000000000007"/>
    <d v="2003-11-26T00:00:00"/>
    <s v="Shipped"/>
    <n v="4"/>
    <n v="11"/>
    <x v="0"/>
    <x v="1"/>
    <n v="207"/>
    <s v="S12_1108"/>
    <s v="Super Scale Inc."/>
    <n v="2035559545"/>
    <s v="567 North Pendale Street"/>
    <m/>
    <s v="New Haven"/>
    <s v="CT"/>
    <n v="97823"/>
    <x v="0"/>
    <s v="NA"/>
    <s v="Murphy"/>
    <s v="Leslie"/>
    <s v="Large"/>
    <s v=""/>
  </r>
  <r>
    <n v="10208"/>
    <n v="46"/>
    <n v="100"/>
    <n v="13"/>
    <n v="8602.92"/>
    <d v="2004-01-02T00:00:00"/>
    <s v="Shipped"/>
    <n v="1"/>
    <n v="1"/>
    <x v="1"/>
    <x v="1"/>
    <n v="207"/>
    <s v="S12_1108"/>
    <s v="Saveley &amp; Henriot, Co."/>
    <s v="78.32.5555"/>
    <s v="2, rue du Commerce"/>
    <m/>
    <s v="Lyon"/>
    <m/>
    <n v="69004"/>
    <x v="1"/>
    <s v="EMEA"/>
    <s v="Saveley"/>
    <s v="Mary"/>
    <s v="Large"/>
    <s v=""/>
  </r>
  <r>
    <n v="10220"/>
    <n v="32"/>
    <n v="100"/>
    <n v="2"/>
    <n v="7181.44"/>
    <d v="2004-02-12T00:00:00"/>
    <s v="Shipped"/>
    <n v="1"/>
    <n v="2"/>
    <x v="1"/>
    <x v="1"/>
    <n v="207"/>
    <s v="S12_1108"/>
    <s v="Clover Collections, Co."/>
    <s v="+353 1862 1555"/>
    <s v="25 Maiden Lane"/>
    <s v="Floor No. 4"/>
    <s v="Dublin"/>
    <m/>
    <n v="2"/>
    <x v="18"/>
    <s v="EMEA"/>
    <s v="Cassidy"/>
    <s v="Dean"/>
    <s v="Large"/>
    <s v=""/>
  </r>
  <r>
    <n v="10231"/>
    <n v="42"/>
    <n v="100"/>
    <n v="2"/>
    <n v="8378.58"/>
    <d v="2004-03-19T00:00:00"/>
    <s v="Shipped"/>
    <n v="1"/>
    <n v="3"/>
    <x v="1"/>
    <x v="1"/>
    <n v="207"/>
    <s v="S12_1108"/>
    <s v="CAF Imports"/>
    <s v="+34 913 728 555"/>
    <s v="Merchants House, 27-30 Merchant's Quay"/>
    <m/>
    <s v="Madrid"/>
    <m/>
    <n v="28023"/>
    <x v="7"/>
    <s v="EMEA"/>
    <s v="Fernandez"/>
    <s v="Jesus"/>
    <s v="Large"/>
    <s v=""/>
  </r>
  <r>
    <n v="10247"/>
    <n v="44"/>
    <n v="100"/>
    <n v="2"/>
    <n v="10606.2"/>
    <d v="2004-05-05T00:00:00"/>
    <s v="Shipped"/>
    <n v="2"/>
    <n v="5"/>
    <x v="1"/>
    <x v="1"/>
    <n v="207"/>
    <s v="S12_1108"/>
    <s v="Suominen Souveniers"/>
    <s v="+358 9 8045 555"/>
    <s v="Software Engineering Center, SEC Oy"/>
    <m/>
    <s v="Espoo"/>
    <m/>
    <s v="FIN-02271"/>
    <x v="4"/>
    <s v="EMEA"/>
    <s v="Suominen"/>
    <s v="Kalle"/>
    <s v="Large"/>
    <s v=""/>
  </r>
  <r>
    <n v="10272"/>
    <n v="35"/>
    <n v="100"/>
    <n v="2"/>
    <n v="5818.4"/>
    <d v="2004-07-20T00:00:00"/>
    <s v="Shipped"/>
    <n v="3"/>
    <n v="7"/>
    <x v="1"/>
    <x v="1"/>
    <n v="207"/>
    <s v="S12_1108"/>
    <s v="Diecast Classics Inc."/>
    <n v="2155551555"/>
    <s v="7586 Pompton St."/>
    <m/>
    <s v="Allentown"/>
    <s v="PA"/>
    <n v="70267"/>
    <x v="0"/>
    <s v="NA"/>
    <s v="Yu"/>
    <s v="Kyung"/>
    <s v="Medium"/>
    <s v=""/>
  </r>
  <r>
    <n v="10282"/>
    <n v="41"/>
    <n v="100"/>
    <n v="5"/>
    <n v="7071.27"/>
    <d v="2004-08-20T00:00:00"/>
    <s v="Shipped"/>
    <n v="3"/>
    <n v="8"/>
    <x v="1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s v="Large"/>
    <s v=""/>
  </r>
  <r>
    <n v="10293"/>
    <n v="46"/>
    <n v="100"/>
    <n v="8"/>
    <n v="8411.56"/>
    <d v="2004-09-09T00:00:00"/>
    <s v="Shipped"/>
    <n v="3"/>
    <n v="9"/>
    <x v="1"/>
    <x v="1"/>
    <n v="207"/>
    <s v="S12_1108"/>
    <s v="Amica Models &amp; Co."/>
    <s v="011-4988555"/>
    <s v="Via Monte Bianco 34"/>
    <m/>
    <s v="Torino"/>
    <m/>
    <n v="10100"/>
    <x v="12"/>
    <s v="EMEA"/>
    <s v="Accorti"/>
    <s v="Paolo"/>
    <s v="Large"/>
    <s v=""/>
  </r>
  <r>
    <n v="10306"/>
    <n v="31"/>
    <n v="100"/>
    <n v="13"/>
    <n v="6570.76"/>
    <d v="2004-10-14T00:00:00"/>
    <s v="Shipped"/>
    <n v="4"/>
    <n v="10"/>
    <x v="1"/>
    <x v="1"/>
    <n v="207"/>
    <s v="S12_1108"/>
    <s v="AV Stores, Co."/>
    <s v="(171) 555-1555"/>
    <s v="Fauntleroy Circus"/>
    <m/>
    <s v="Manchester"/>
    <m/>
    <s v="EC2 5NT"/>
    <x v="6"/>
    <s v="EMEA"/>
    <s v="Ashworth"/>
    <s v="Victoria"/>
    <s v="Medium"/>
    <s v=""/>
  </r>
  <r>
    <n v="10314"/>
    <n v="38"/>
    <n v="100"/>
    <n v="5"/>
    <n v="7975.44"/>
    <d v="2004-10-22T00:00:00"/>
    <s v="Shipped"/>
    <n v="4"/>
    <n v="10"/>
    <x v="1"/>
    <x v="1"/>
    <n v="207"/>
    <s v="S12_1108"/>
    <s v="Heintze Collectables"/>
    <s v="86 21 3555"/>
    <s v="Smagsloget 45"/>
    <m/>
    <s v="Aaarhus"/>
    <m/>
    <n v="8200"/>
    <x v="13"/>
    <s v="EMEA"/>
    <s v="Ibsen"/>
    <s v="Palle"/>
    <s v="Large"/>
    <s v=""/>
  </r>
  <r>
    <n v="10336"/>
    <n v="33"/>
    <n v="57.22"/>
    <n v="10"/>
    <n v="1888.26"/>
    <d v="2004-11-20T00:00:00"/>
    <s v="Shipped"/>
    <n v="4"/>
    <n v="11"/>
    <x v="1"/>
    <x v="1"/>
    <n v="207"/>
    <s v="S12_1108"/>
    <s v="La Corne D'abondance, Co."/>
    <s v="(1) 42.34.2555"/>
    <s v="265, boulevard Charonne"/>
    <m/>
    <s v="Paris"/>
    <m/>
    <n v="75012"/>
    <x v="1"/>
    <s v="EMEA"/>
    <s v="Bertrand"/>
    <s v="Marie"/>
    <s v="Small"/>
    <s v=""/>
  </r>
  <r>
    <n v="10348"/>
    <n v="48"/>
    <n v="52.36"/>
    <n v="8"/>
    <n v="2513.2800000000002"/>
    <d v="2004-11-01T00:00:00"/>
    <s v="Shipped"/>
    <n v="4"/>
    <n v="11"/>
    <x v="1"/>
    <x v="1"/>
    <n v="207"/>
    <s v="S12_1108"/>
    <s v="Corrida Auto Replicas, Ltd"/>
    <s v="(91) 555 22 82"/>
    <s v="C/ Araquil, 67"/>
    <m/>
    <s v="Madrid"/>
    <m/>
    <n v="28023"/>
    <x v="7"/>
    <s v="EMEA"/>
    <s v="Sommer"/>
    <s v="Mart¡n"/>
    <s v="Small"/>
    <s v=""/>
  </r>
  <r>
    <n v="10371"/>
    <n v="32"/>
    <n v="100"/>
    <n v="6"/>
    <n v="3560.64"/>
    <d v="2005-01-23T00:00:00"/>
    <s v="Shipped"/>
    <n v="1"/>
    <n v="1"/>
    <x v="2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s v="Medium"/>
    <s v=""/>
  </r>
  <r>
    <n v="10382"/>
    <n v="34"/>
    <n v="100"/>
    <n v="10"/>
    <n v="3823.64"/>
    <d v="2005-02-17T00:00:00"/>
    <s v="Shipped"/>
    <n v="1"/>
    <n v="2"/>
    <x v="2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s v="Medium"/>
    <s v=""/>
  </r>
  <r>
    <n v="10413"/>
    <n v="36"/>
    <n v="100"/>
    <n v="2"/>
    <n v="8677.7999999999993"/>
    <d v="2005-05-05T00:00:00"/>
    <s v="Shipped"/>
    <n v="2"/>
    <n v="5"/>
    <x v="2"/>
    <x v="1"/>
    <n v="207"/>
    <s v="S12_1108"/>
    <s v="Gift Depot Inc."/>
    <n v="2035552570"/>
    <s v="25593 South Bay Ln."/>
    <m/>
    <s v="Bridgewater"/>
    <s v="CT"/>
    <n v="97562"/>
    <x v="0"/>
    <s v="NA"/>
    <s v="King"/>
    <s v="Julie"/>
    <s v="Large"/>
    <s v=""/>
  </r>
  <r>
    <n v="10113"/>
    <n v="21"/>
    <n v="100"/>
    <n v="2"/>
    <n v="3415.44"/>
    <d v="2003-03-26T00:00:00"/>
    <s v="Shipped"/>
    <n v="1"/>
    <n v="3"/>
    <x v="0"/>
    <x v="2"/>
    <n v="136"/>
    <s v="S12_1666"/>
    <s v="Mini Gifts Distributors Ltd."/>
    <n v="4155551450"/>
    <s v="5677 Strong St."/>
    <m/>
    <s v="San Rafael"/>
    <s v="CA"/>
    <n v="97562"/>
    <x v="0"/>
    <s v="NA"/>
    <s v="Nelson"/>
    <s v="Valarie"/>
    <s v="Medium"/>
    <s v=""/>
  </r>
  <r>
    <n v="10216"/>
    <n v="43"/>
    <n v="100"/>
    <n v="1"/>
    <n v="5759.42"/>
    <d v="2004-02-02T00:00:00"/>
    <s v="Shipped"/>
    <n v="1"/>
    <n v="2"/>
    <x v="1"/>
    <x v="2"/>
    <n v="136"/>
    <s v="S12_1666"/>
    <s v="Auto Assoc. &amp; Cie."/>
    <s v="30.59.8555"/>
    <s v="67, avenue de l'Europe"/>
    <m/>
    <s v="Versailles"/>
    <m/>
    <n v="78000"/>
    <x v="1"/>
    <s v="EMEA"/>
    <s v="Tonini"/>
    <s v="Daniel"/>
    <s v="Medium"/>
    <s v=""/>
  </r>
  <r>
    <n v="10189"/>
    <n v="28"/>
    <n v="100"/>
    <n v="1"/>
    <n v="4512.4799999999996"/>
    <d v="2003-11-18T00:00:00"/>
    <s v="Shipped"/>
    <n v="4"/>
    <n v="11"/>
    <x v="0"/>
    <x v="0"/>
    <n v="150"/>
    <s v="S12_2823"/>
    <s v="Toys4GrownUps.com"/>
    <n v="6265557265"/>
    <s v="78934 Hillside Dr."/>
    <m/>
    <s v="Pasadena"/>
    <s v="CA"/>
    <n v="90003"/>
    <x v="0"/>
    <s v="NA"/>
    <s v="Young"/>
    <s v="Julie"/>
    <s v="Medium"/>
    <s v=""/>
  </r>
  <r>
    <n v="10224"/>
    <n v="43"/>
    <n v="100"/>
    <n v="6"/>
    <n v="6087.94"/>
    <d v="2004-02-21T00:00:00"/>
    <s v="Shipped"/>
    <n v="1"/>
    <n v="2"/>
    <x v="1"/>
    <x v="0"/>
    <n v="150"/>
    <s v="S12_2823"/>
    <s v="Daedalus Designs Imports"/>
    <s v="20.16.1555"/>
    <s v="184, chausse de Tournai"/>
    <m/>
    <s v="Lille"/>
    <m/>
    <n v="59000"/>
    <x v="1"/>
    <s v="EMEA"/>
    <s v="Rance"/>
    <s v="Martine"/>
    <s v="Medium"/>
    <s v=""/>
  </r>
  <r>
    <n v="10319"/>
    <n v="30"/>
    <n v="100"/>
    <n v="9"/>
    <n v="4111.8"/>
    <d v="2004-11-03T00:00:00"/>
    <s v="Shipped"/>
    <n v="4"/>
    <n v="11"/>
    <x v="1"/>
    <x v="0"/>
    <n v="150"/>
    <s v="S12_2823"/>
    <s v="Microscale Inc."/>
    <n v="2125551957"/>
    <s v="5290 North Pendale Street"/>
    <s v="Suite 200"/>
    <s v="NYC"/>
    <s v="NY"/>
    <n v="10022"/>
    <x v="0"/>
    <s v="NA"/>
    <s v="Kuo"/>
    <s v="Kee"/>
    <s v="Medium"/>
    <s v=""/>
  </r>
  <r>
    <n v="10104"/>
    <n v="34"/>
    <n v="100"/>
    <n v="1"/>
    <n v="5958.5"/>
    <d v="2003-01-31T00:00:00"/>
    <s v="Shipped"/>
    <n v="1"/>
    <n v="1"/>
    <x v="0"/>
    <x v="1"/>
    <n v="151"/>
    <s v="S12_3148"/>
    <s v="Euro Shopping Channel"/>
    <s v="(91) 555 94 44"/>
    <s v="C/ Moralzarzal, 86"/>
    <m/>
    <s v="Madrid"/>
    <m/>
    <n v="28034"/>
    <x v="7"/>
    <s v="EMEA"/>
    <s v="Freyre"/>
    <s v="Diego"/>
    <s v="Medium"/>
    <s v=""/>
  </r>
  <r>
    <n v="10230"/>
    <n v="43"/>
    <n v="100"/>
    <n v="1"/>
    <n v="7016.31"/>
    <d v="2004-03-15T00:00:00"/>
    <s v="Shipped"/>
    <n v="1"/>
    <n v="3"/>
    <x v="1"/>
    <x v="1"/>
    <n v="151"/>
    <s v="S12_3148"/>
    <s v="Blauer See Auto, Co."/>
    <s v="+49 69 66 90 2555"/>
    <s v="Lyonerstr. 34"/>
    <m/>
    <s v="Frankfurt"/>
    <m/>
    <n v="60528"/>
    <x v="16"/>
    <s v="EMEA"/>
    <s v="Keitel"/>
    <s v="Roland"/>
    <s v="Large"/>
    <s v=""/>
  </r>
  <r>
    <n v="10324"/>
    <n v="27"/>
    <n v="54.33"/>
    <n v="1"/>
    <n v="1466.91"/>
    <d v="2004-11-05T00:00:00"/>
    <s v="Shipped"/>
    <n v="4"/>
    <n v="11"/>
    <x v="1"/>
    <x v="1"/>
    <n v="151"/>
    <s v="S12_3148"/>
    <s v="Vitachrome Inc."/>
    <n v="2125551500"/>
    <s v="2678 Kingston Rd."/>
    <s v="Suite 101"/>
    <s v="NYC"/>
    <s v="NY"/>
    <n v="10022"/>
    <x v="0"/>
    <s v="NA"/>
    <s v="Frick"/>
    <s v="Michael"/>
    <s v="Small"/>
    <s v=""/>
  </r>
  <r>
    <n v="10358"/>
    <n v="49"/>
    <n v="55.34"/>
    <n v="5"/>
    <n v="2711.66"/>
    <d v="2004-12-10T00:00:00"/>
    <s v="Shipped"/>
    <n v="4"/>
    <n v="12"/>
    <x v="1"/>
    <x v="1"/>
    <n v="151"/>
    <s v="S12_3148"/>
    <s v="Euro Shopping Channel"/>
    <s v="(91) 555 94 44"/>
    <s v="C/ Moralzarzal, 86"/>
    <m/>
    <s v="Madrid"/>
    <m/>
    <n v="28034"/>
    <x v="7"/>
    <s v="EMEA"/>
    <s v="Freyre"/>
    <s v="Diego"/>
    <s v="Small"/>
    <s v=""/>
  </r>
  <r>
    <n v="10372"/>
    <n v="40"/>
    <n v="100"/>
    <n v="4"/>
    <n v="5862"/>
    <d v="2005-01-26T00:00:00"/>
    <s v="Shipped"/>
    <n v="1"/>
    <n v="1"/>
    <x v="2"/>
    <x v="1"/>
    <n v="151"/>
    <s v="S12_3148"/>
    <s v="Tokyo Collectables, Ltd"/>
    <s v="+81 3 3584 0555"/>
    <s v="2-2-8 Roppongi"/>
    <m/>
    <s v="Minato-ku"/>
    <s v="Tokyo"/>
    <s v="106-0032"/>
    <x v="11"/>
    <s v="Japan"/>
    <s v="Shimamura"/>
    <s v="Akiko"/>
    <s v="Medium"/>
    <s v=""/>
  </r>
  <r>
    <n v="10160"/>
    <n v="46"/>
    <n v="100"/>
    <n v="6"/>
    <n v="5294.14"/>
    <d v="2003-10-11T00:00:00"/>
    <s v="Shipped"/>
    <n v="4"/>
    <n v="10"/>
    <x v="0"/>
    <x v="1"/>
    <n v="117"/>
    <s v="S12_3380"/>
    <s v="Men 'R' US Retailers, Ltd."/>
    <n v="2155554369"/>
    <s v="6047 Douglas Av."/>
    <m/>
    <s v="Los Angeles"/>
    <s v="CA"/>
    <m/>
    <x v="0"/>
    <s v="NA"/>
    <s v="Chandler"/>
    <s v="Michael"/>
    <s v="Medium"/>
    <s v=""/>
  </r>
  <r>
    <n v="10170"/>
    <n v="47"/>
    <n v="100"/>
    <n v="4"/>
    <n v="5464.69"/>
    <d v="2003-11-04T00:00:00"/>
    <s v="Shipped"/>
    <n v="4"/>
    <n v="11"/>
    <x v="0"/>
    <x v="1"/>
    <n v="117"/>
    <s v="S12_3380"/>
    <s v="Mini Auto Werke"/>
    <s v="7675-3555"/>
    <s v="Kirchgasse 6"/>
    <m/>
    <s v="Graz"/>
    <m/>
    <n v="8010"/>
    <x v="5"/>
    <s v="EMEA"/>
    <s v="Mendel"/>
    <s v="Roland"/>
    <s v="Medium"/>
    <s v=""/>
  </r>
  <r>
    <n v="10212"/>
    <n v="39"/>
    <n v="100"/>
    <n v="16"/>
    <n v="4946.76"/>
    <d v="2004-01-16T00:00:00"/>
    <s v="Shipped"/>
    <n v="1"/>
    <n v="1"/>
    <x v="1"/>
    <x v="1"/>
    <n v="117"/>
    <s v="S12_3380"/>
    <s v="Euro Shopping Channel"/>
    <s v="(91) 555 94 44"/>
    <s v="C/ Moralzarzal, 86"/>
    <m/>
    <s v="Madrid"/>
    <m/>
    <n v="28034"/>
    <x v="7"/>
    <s v="EMEA"/>
    <s v="Freyre"/>
    <s v="Diego"/>
    <s v="Medium"/>
    <s v=""/>
  </r>
  <r>
    <n v="10376"/>
    <n v="35"/>
    <n v="100"/>
    <n v="1"/>
    <n v="3987.2"/>
    <d v="2005-02-08T00:00:00"/>
    <s v="Shipped"/>
    <n v="1"/>
    <n v="2"/>
    <x v="2"/>
    <x v="1"/>
    <n v="117"/>
    <s v="S12_3380"/>
    <s v="Boards &amp; Toys Co."/>
    <n v="3105552373"/>
    <s v="4097 Douglas Av."/>
    <m/>
    <s v="Glendale"/>
    <s v="CA"/>
    <n v="92561"/>
    <x v="0"/>
    <s v="NA"/>
    <s v="Young"/>
    <s v="Leslie"/>
    <s v="Medium"/>
    <s v=""/>
  </r>
  <r>
    <n v="10349"/>
    <n v="26"/>
    <n v="100"/>
    <n v="10"/>
    <n v="4408.5600000000004"/>
    <d v="2004-12-01T00:00:00"/>
    <s v="Shipped"/>
    <n v="4"/>
    <n v="12"/>
    <x v="1"/>
    <x v="1"/>
    <n v="173"/>
    <s v="S12_3891"/>
    <s v="Muscle Machine Inc"/>
    <n v="2125557413"/>
    <s v="4092 Furth Circle"/>
    <s v="Suite 400"/>
    <s v="NYC"/>
    <s v="NY"/>
    <n v="10022"/>
    <x v="0"/>
    <s v="NA"/>
    <s v="Young"/>
    <s v="Jeff"/>
    <s v="Medium"/>
    <s v=""/>
  </r>
  <r>
    <n v="10396"/>
    <n v="33"/>
    <n v="100"/>
    <n v="3"/>
    <n v="6109.29"/>
    <d v="2005-03-23T00:00:00"/>
    <s v="Shipped"/>
    <n v="1"/>
    <n v="3"/>
    <x v="2"/>
    <x v="1"/>
    <n v="173"/>
    <s v="S12_3891"/>
    <s v="Mini Gifts Distributors Ltd."/>
    <n v="4155551450"/>
    <s v="5677 Strong St."/>
    <m/>
    <s v="San Rafael"/>
    <s v="CA"/>
    <n v="97562"/>
    <x v="0"/>
    <s v="NA"/>
    <s v="Nelson"/>
    <s v="Valarie"/>
    <s v="Medium"/>
    <s v=""/>
  </r>
  <r>
    <n v="10377"/>
    <n v="24"/>
    <n v="67.83"/>
    <n v="5"/>
    <n v="1627.92"/>
    <d v="2005-02-09T00:00:00"/>
    <s v="Shipped"/>
    <n v="1"/>
    <n v="2"/>
    <x v="2"/>
    <x v="1"/>
    <n v="79"/>
    <s v="S12_3990"/>
    <s v="Toys of Finland, Co."/>
    <s v="90-224 8555"/>
    <s v="Keskuskatu 45"/>
    <m/>
    <s v="Helsinki"/>
    <m/>
    <n v="21240"/>
    <x v="4"/>
    <s v="EMEA"/>
    <s v="Karttunen"/>
    <s v="Matti"/>
    <s v="Small"/>
    <s v=""/>
  </r>
  <r>
    <n v="10115"/>
    <n v="46"/>
    <n v="100"/>
    <n v="5"/>
    <n v="5723.78"/>
    <d v="2003-04-04T00:00:00"/>
    <s v="Shipped"/>
    <n v="2"/>
    <n v="4"/>
    <x v="0"/>
    <x v="2"/>
    <n v="118"/>
    <s v="S12_4473"/>
    <s v="Classic Legends Inc."/>
    <n v="2125558493"/>
    <s v="5905 Pompton St."/>
    <s v="Suite 750"/>
    <s v="NYC"/>
    <s v="NY"/>
    <n v="10022"/>
    <x v="0"/>
    <s v="NA"/>
    <s v="Hernandez"/>
    <s v="Maria"/>
    <s v="Medium"/>
    <s v=""/>
  </r>
  <r>
    <n v="10141"/>
    <n v="21"/>
    <n v="100"/>
    <n v="5"/>
    <n v="2140.11"/>
    <d v="2003-08-01T00:00:00"/>
    <s v="Shipped"/>
    <n v="3"/>
    <n v="8"/>
    <x v="0"/>
    <x v="2"/>
    <n v="118"/>
    <s v="S12_4473"/>
    <s v="Suominen Souveniers"/>
    <s v="+358 9 8045 555"/>
    <s v="Software Engineering Center, SEC Oy"/>
    <m/>
    <s v="Espoo"/>
    <m/>
    <s v="FIN-02271"/>
    <x v="4"/>
    <s v="EMEA"/>
    <s v="Suominen"/>
    <s v="Kalle"/>
    <s v="Small"/>
    <s v=""/>
  </r>
  <r>
    <n v="10151"/>
    <n v="24"/>
    <n v="100"/>
    <n v="3"/>
    <n v="3327.6"/>
    <d v="2003-09-21T00:00:00"/>
    <s v="Shipped"/>
    <n v="3"/>
    <n v="9"/>
    <x v="0"/>
    <x v="2"/>
    <n v="118"/>
    <s v="S12_4473"/>
    <s v="Oulu Toy Supplies, Inc."/>
    <s v="981-443655"/>
    <s v="Torikatu 38"/>
    <m/>
    <s v="Oulu"/>
    <m/>
    <n v="90110"/>
    <x v="4"/>
    <s v="EMEA"/>
    <s v="Koskitalo"/>
    <s v="Pirkko"/>
    <s v="Medium"/>
    <s v=""/>
  </r>
  <r>
    <n v="10184"/>
    <n v="37"/>
    <n v="100"/>
    <n v="6"/>
    <n v="4516.22"/>
    <d v="2003-11-14T00:00:00"/>
    <s v="Shipped"/>
    <n v="4"/>
    <n v="11"/>
    <x v="0"/>
    <x v="2"/>
    <n v="118"/>
    <s v="S12_4473"/>
    <s v="Iberia Gift Imports, Corp."/>
    <s v="(95) 555 82 82"/>
    <s v="C/ Romero, 33"/>
    <m/>
    <s v="Sevilla"/>
    <m/>
    <n v="41101"/>
    <x v="7"/>
    <s v="EMEA"/>
    <s v="Roel"/>
    <s v="Jose Pedro"/>
    <s v="Medium"/>
    <s v=""/>
  </r>
  <r>
    <n v="10195"/>
    <n v="49"/>
    <n v="100"/>
    <n v="6"/>
    <n v="6445.46"/>
    <d v="2003-11-25T00:00:00"/>
    <s v="Shipped"/>
    <n v="4"/>
    <n v="11"/>
    <x v="0"/>
    <x v="2"/>
    <n v="118"/>
    <s v="S12_4473"/>
    <s v="Mini Classics"/>
    <n v="9145554562"/>
    <s v="3758 North Pendale Street"/>
    <m/>
    <s v="White Plains"/>
    <s v="NY"/>
    <n v="24067"/>
    <x v="0"/>
    <s v="NA"/>
    <s v="Frick"/>
    <s v="Steve"/>
    <s v="Medium"/>
    <s v=""/>
  </r>
  <r>
    <n v="10219"/>
    <n v="48"/>
    <n v="100"/>
    <n v="2"/>
    <n v="4891.68"/>
    <d v="2004-02-10T00:00:00"/>
    <s v="Shipped"/>
    <n v="1"/>
    <n v="2"/>
    <x v="1"/>
    <x v="2"/>
    <n v="118"/>
    <s v="S12_4473"/>
    <s v="Signal Collectibles Ltd."/>
    <n v="4155554312"/>
    <s v="2793 Furth Circle"/>
    <m/>
    <s v="Brisbane"/>
    <s v="CA"/>
    <n v="94217"/>
    <x v="0"/>
    <s v="NA"/>
    <s v="Taylor"/>
    <s v="Sue"/>
    <s v="Medium"/>
    <s v=""/>
  </r>
  <r>
    <n v="10246"/>
    <n v="46"/>
    <n v="100"/>
    <n v="5"/>
    <n v="5069.66"/>
    <d v="2004-05-05T00:00:00"/>
    <s v="Shipped"/>
    <n v="2"/>
    <n v="5"/>
    <x v="1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s v="Medium"/>
    <s v=""/>
  </r>
  <r>
    <n v="10271"/>
    <n v="31"/>
    <n v="97.17"/>
    <n v="5"/>
    <n v="3012.27"/>
    <d v="2004-07-20T00:00:00"/>
    <s v="Shipped"/>
    <n v="3"/>
    <n v="7"/>
    <x v="1"/>
    <x v="2"/>
    <n v="118"/>
    <s v="S12_4473"/>
    <s v="Mini Gifts Distributors Ltd."/>
    <n v="4155551450"/>
    <s v="5677 Strong St."/>
    <m/>
    <s v="San Rafael"/>
    <s v="CA"/>
    <n v="97562"/>
    <x v="0"/>
    <s v="NA"/>
    <s v="Nelson"/>
    <s v="Valarie"/>
    <s v="Medium"/>
    <s v=""/>
  </r>
  <r>
    <n v="10292"/>
    <n v="21"/>
    <n v="100"/>
    <n v="8"/>
    <n v="2214.87"/>
    <d v="2004-09-08T00:00:00"/>
    <s v="Shipped"/>
    <n v="3"/>
    <n v="9"/>
    <x v="1"/>
    <x v="2"/>
    <n v="118"/>
    <s v="S12_4473"/>
    <s v="Land of Toys Inc."/>
    <n v="2125557818"/>
    <s v="897 Long Airport Avenue"/>
    <m/>
    <s v="NYC"/>
    <s v="NY"/>
    <n v="10022"/>
    <x v="0"/>
    <s v="NA"/>
    <s v="Yu"/>
    <s v="Kwai"/>
    <s v="Small"/>
    <s v=""/>
  </r>
  <r>
    <n v="10412"/>
    <n v="54"/>
    <n v="100"/>
    <n v="5"/>
    <n v="5951.34"/>
    <d v="2005-05-03T00:00:00"/>
    <s v="Shipped"/>
    <n v="2"/>
    <n v="5"/>
    <x v="2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s v="Medium"/>
    <s v=""/>
  </r>
  <r>
    <n v="10192"/>
    <n v="27"/>
    <n v="100"/>
    <n v="16"/>
    <n v="3544.56"/>
    <d v="2003-11-20T00:00:00"/>
    <s v="Shipped"/>
    <n v="4"/>
    <n v="11"/>
    <x v="0"/>
    <x v="1"/>
    <n v="115"/>
    <s v="S12_4675"/>
    <s v="Online Diecast Creations Co."/>
    <n v="6035558647"/>
    <s v="2304 Long Airport Avenue"/>
    <m/>
    <s v="Nashua"/>
    <s v="NH"/>
    <n v="62005"/>
    <x v="0"/>
    <s v="NA"/>
    <s v="Young"/>
    <s v="Valarie"/>
    <s v="Medium"/>
    <s v=""/>
  </r>
  <r>
    <n v="10239"/>
    <n v="21"/>
    <n v="93.28"/>
    <n v="5"/>
    <n v="1958.88"/>
    <d v="2004-04-12T00:00:00"/>
    <s v="Shipped"/>
    <n v="2"/>
    <n v="4"/>
    <x v="1"/>
    <x v="1"/>
    <n v="115"/>
    <s v="S12_4675"/>
    <s v="Oulu Toy Supplies, Inc."/>
    <s v="981-443655"/>
    <s v="Torikatu 38"/>
    <m/>
    <s v="Oulu"/>
    <m/>
    <n v="90110"/>
    <x v="4"/>
    <s v="EMEA"/>
    <s v="Koskitalo"/>
    <s v="Pirkko"/>
    <s v="Small"/>
    <s v=""/>
  </r>
  <r>
    <n v="10277"/>
    <n v="28"/>
    <n v="100"/>
    <n v="1"/>
    <n v="3127.88"/>
    <d v="2004-08-04T00:00:00"/>
    <s v="Shipped"/>
    <n v="3"/>
    <n v="8"/>
    <x v="1"/>
    <x v="1"/>
    <n v="115"/>
    <s v="S12_4675"/>
    <s v="Dragon Souveniers, Ltd."/>
    <s v="+65 221 7555"/>
    <s v="Bronz Sok., Bronz Apt. 3/6 Tesvikiye"/>
    <m/>
    <s v="Singapore"/>
    <m/>
    <n v="79903"/>
    <x v="9"/>
    <s v="Japan"/>
    <s v="Natividad"/>
    <s v="Eric"/>
    <s v="Medium"/>
    <s v=""/>
  </r>
  <r>
    <n v="10321"/>
    <n v="24"/>
    <n v="100"/>
    <n v="15"/>
    <n v="2984.88"/>
    <d v="2004-11-04T00:00:00"/>
    <s v="Shipped"/>
    <n v="4"/>
    <n v="11"/>
    <x v="1"/>
    <x v="1"/>
    <n v="115"/>
    <s v="S12_4675"/>
    <s v="FunGiftIdeas.com"/>
    <n v="5085552555"/>
    <s v="1785 First Street"/>
    <m/>
    <s v="New Bedford"/>
    <s v="MA"/>
    <n v="50553"/>
    <x v="0"/>
    <s v="NA"/>
    <s v="Benitez"/>
    <s v="Violeta"/>
    <s v="Small"/>
    <s v=""/>
  </r>
  <r>
    <n v="10405"/>
    <n v="97"/>
    <n v="93.28"/>
    <n v="5"/>
    <n v="9048.16"/>
    <d v="2005-04-14T00:00:00"/>
    <s v="Shipped"/>
    <n v="2"/>
    <n v="4"/>
    <x v="2"/>
    <x v="1"/>
    <n v="115"/>
    <s v="S12_4675"/>
    <s v="Mini Caravy"/>
    <s v="88.60.1555"/>
    <s v="24, place Kluber"/>
    <m/>
    <s v="Strasbourg"/>
    <m/>
    <n v="67000"/>
    <x v="1"/>
    <s v="EMEA"/>
    <s v="Citeaux"/>
    <s v="Frederique"/>
    <s v="Large"/>
    <s v=""/>
  </r>
  <r>
    <n v="10109"/>
    <n v="26"/>
    <n v="100"/>
    <n v="4"/>
    <n v="4379.18"/>
    <d v="2003-03-10T00:00:00"/>
    <s v="Shipped"/>
    <n v="1"/>
    <n v="3"/>
    <x v="0"/>
    <x v="1"/>
    <n v="141"/>
    <s v="S18_1129"/>
    <s v="Motor Mint Distributors Inc."/>
    <n v="2155559857"/>
    <s v="11328 Douglas Av."/>
    <m/>
    <s v="Philadelphia"/>
    <s v="PA"/>
    <n v="71270"/>
    <x v="0"/>
    <s v="NA"/>
    <s v="Hernandez"/>
    <s v="Rosa"/>
    <s v="Medium"/>
    <s v=""/>
  </r>
  <r>
    <n v="10136"/>
    <n v="25"/>
    <n v="100"/>
    <n v="2"/>
    <n v="3644.75"/>
    <d v="2003-07-04T00:00:00"/>
    <s v="Shipped"/>
    <n v="3"/>
    <n v="7"/>
    <x v="0"/>
    <x v="1"/>
    <n v="141"/>
    <s v="S18_1129"/>
    <s v="Alpha Cognac"/>
    <s v="61.77.6555"/>
    <s v="1 rue Alsace-Lorraine"/>
    <m/>
    <s v="Toulouse"/>
    <m/>
    <n v="31000"/>
    <x v="1"/>
    <s v="EMEA"/>
    <s v="Roulet"/>
    <s v="Annette"/>
    <s v="Medium"/>
    <s v=""/>
  </r>
  <r>
    <n v="10148"/>
    <n v="23"/>
    <n v="100"/>
    <n v="13"/>
    <n v="2702.04"/>
    <d v="2003-09-11T00:00:00"/>
    <s v="Shipped"/>
    <n v="3"/>
    <n v="9"/>
    <x v="0"/>
    <x v="1"/>
    <n v="141"/>
    <s v="S18_1129"/>
    <s v="Anna's Decorations, Ltd"/>
    <s v="02 9936 8555"/>
    <s v="201 Miller Street"/>
    <s v="Level 15"/>
    <s v="North Sydney"/>
    <s v="NSW"/>
    <n v="2060"/>
    <x v="3"/>
    <s v="APAC"/>
    <s v="O'Hara"/>
    <s v="Anna"/>
    <s v="Small"/>
    <s v=""/>
  </r>
  <r>
    <n v="10161"/>
    <n v="28"/>
    <n v="100"/>
    <n v="12"/>
    <n v="3764.88"/>
    <d v="2003-10-17T00:00:00"/>
    <s v="Shipped"/>
    <n v="4"/>
    <n v="10"/>
    <x v="0"/>
    <x v="1"/>
    <n v="141"/>
    <s v="S18_1129"/>
    <s v="Heintze Collectables"/>
    <s v="86 21 3555"/>
    <s v="Smagsloget 45"/>
    <m/>
    <s v="Aaarhus"/>
    <m/>
    <n v="8200"/>
    <x v="13"/>
    <s v="EMEA"/>
    <s v="Ibsen"/>
    <s v="Palle"/>
    <s v="Medium"/>
    <s v=""/>
  </r>
  <r>
    <n v="10171"/>
    <n v="35"/>
    <n v="100"/>
    <n v="2"/>
    <n v="4508"/>
    <d v="2003-11-05T00:00:00"/>
    <s v="Shipped"/>
    <n v="4"/>
    <n v="11"/>
    <x v="0"/>
    <x v="1"/>
    <n v="141"/>
    <s v="S18_1129"/>
    <s v="Quebec Home Shopping Network"/>
    <s v="(514) 555-8054"/>
    <s v="43 rue St. Laurent"/>
    <m/>
    <s v="Montreal"/>
    <s v="Quebec"/>
    <s v="H1J 1C3"/>
    <x v="10"/>
    <s v="NA"/>
    <s v="Fresnisre"/>
    <s v="Jean"/>
    <s v="Medium"/>
    <s v=""/>
  </r>
  <r>
    <n v="10204"/>
    <n v="42"/>
    <n v="100"/>
    <n v="17"/>
    <n v="6182.4"/>
    <d v="2003-12-02T00:00:00"/>
    <s v="Shipped"/>
    <n v="4"/>
    <n v="12"/>
    <x v="0"/>
    <x v="1"/>
    <n v="141"/>
    <s v="S18_1129"/>
    <s v="Muscle Machine Inc"/>
    <n v="2125557413"/>
    <s v="4092 Furth Circle"/>
    <s v="Suite 400"/>
    <s v="NYC"/>
    <s v="NY"/>
    <n v="10022"/>
    <x v="0"/>
    <s v="NA"/>
    <s v="Young"/>
    <s v="Jeff"/>
    <s v="Medium"/>
    <s v=""/>
  </r>
  <r>
    <n v="10240"/>
    <n v="41"/>
    <n v="100"/>
    <n v="3"/>
    <n v="5628.89"/>
    <d v="2004-04-13T00:00:00"/>
    <s v="Shipped"/>
    <n v="2"/>
    <n v="4"/>
    <x v="1"/>
    <x v="1"/>
    <n v="141"/>
    <s v="S18_1129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  <s v=""/>
  </r>
  <r>
    <n v="10278"/>
    <n v="34"/>
    <n v="100"/>
    <n v="6"/>
    <n v="4667.8599999999997"/>
    <d v="2004-08-06T00:00:00"/>
    <s v="Shipped"/>
    <n v="3"/>
    <n v="8"/>
    <x v="1"/>
    <x v="1"/>
    <n v="141"/>
    <s v="S18_1129"/>
    <s v="Signal Gift Stores"/>
    <n v="7025551838"/>
    <s v="8489 Strong St."/>
    <m/>
    <s v="Las Vegas"/>
    <s v="NV"/>
    <n v="83030"/>
    <x v="0"/>
    <s v="NA"/>
    <s v="King"/>
    <s v="Sue"/>
    <s v="Medium"/>
    <s v=""/>
  </r>
  <r>
    <n v="10301"/>
    <n v="37"/>
    <n v="100"/>
    <n v="8"/>
    <n v="5917.78"/>
    <d v="2003-10-05T00:00:00"/>
    <s v="Shipped"/>
    <n v="4"/>
    <n v="10"/>
    <x v="0"/>
    <x v="1"/>
    <n v="141"/>
    <s v="S18_1129"/>
    <s v="Norway Gifts By Mail, Co."/>
    <s v="+47 2212 1555"/>
    <s v="Drammensveien 126 A, PB 744 Sentrum"/>
    <m/>
    <s v="Oslo"/>
    <m/>
    <s v="N 0106"/>
    <x v="2"/>
    <s v="EMEA"/>
    <s v="Klaeboe"/>
    <s v="Jan"/>
    <s v="Medium"/>
    <s v=""/>
  </r>
  <r>
    <n v="10331"/>
    <n v="46"/>
    <n v="100"/>
    <n v="6"/>
    <n v="6434.02"/>
    <d v="2004-11-17T00:00:00"/>
    <s v="Shipped"/>
    <n v="4"/>
    <n v="11"/>
    <x v="1"/>
    <x v="1"/>
    <n v="141"/>
    <s v="S18_1129"/>
    <s v="Motor Mint Distributors Inc."/>
    <n v="2155559857"/>
    <s v="11328 Douglas Av."/>
    <m/>
    <s v="Philadelphia"/>
    <s v="PA"/>
    <n v="71270"/>
    <x v="0"/>
    <s v="NA"/>
    <s v="Hernandez"/>
    <s v="Rosa"/>
    <s v="Medium"/>
    <s v=""/>
  </r>
  <r>
    <n v="10342"/>
    <n v="40"/>
    <n v="100"/>
    <n v="2"/>
    <n v="6454.4"/>
    <d v="2004-11-24T00:00:00"/>
    <s v="Shipped"/>
    <n v="4"/>
    <n v="11"/>
    <x v="1"/>
    <x v="1"/>
    <n v="141"/>
    <s v="S18_112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  <s v=""/>
  </r>
  <r>
    <n v="10356"/>
    <n v="43"/>
    <n v="97.6"/>
    <n v="8"/>
    <n v="4196.8"/>
    <d v="2004-12-09T00:00:00"/>
    <s v="Shipped"/>
    <n v="4"/>
    <n v="12"/>
    <x v="1"/>
    <x v="1"/>
    <n v="141"/>
    <s v="S18_1129"/>
    <s v="Lyon Souveniers"/>
    <s v="+33 1 46 62 7555"/>
    <s v="27 rue du Colonel Pierre Avia"/>
    <m/>
    <s v="Paris"/>
    <m/>
    <n v="75508"/>
    <x v="1"/>
    <s v="EMEA"/>
    <s v="Da Cunha"/>
    <s v="Daniel"/>
    <s v="Medium"/>
    <s v=""/>
  </r>
  <r>
    <n v="10365"/>
    <n v="30"/>
    <n v="87.06"/>
    <n v="1"/>
    <n v="2611.8000000000002"/>
    <d v="2005-01-07T00:00:00"/>
    <s v="Shipped"/>
    <n v="1"/>
    <n v="1"/>
    <x v="2"/>
    <x v="1"/>
    <n v="141"/>
    <s v="S18_1129"/>
    <s v="Mini Creations Ltd."/>
    <n v="5085559555"/>
    <s v="4575 Hillside Dr."/>
    <m/>
    <s v="New Bedford"/>
    <s v="MA"/>
    <n v="50553"/>
    <x v="0"/>
    <s v="NA"/>
    <s v="Tam"/>
    <s v="Wing C"/>
    <s v="Small"/>
    <s v=""/>
  </r>
  <r>
    <n v="10390"/>
    <n v="36"/>
    <n v="93.77"/>
    <n v="14"/>
    <n v="3375.72"/>
    <d v="2005-03-04T00:00:00"/>
    <s v="Shipped"/>
    <n v="1"/>
    <n v="3"/>
    <x v="2"/>
    <x v="1"/>
    <n v="141"/>
    <s v="S18_1129"/>
    <s v="Mini Gifts Distributors Ltd."/>
    <n v="4155551450"/>
    <s v="5677 Strong St."/>
    <m/>
    <s v="San Rafael"/>
    <s v="CA"/>
    <n v="97562"/>
    <x v="0"/>
    <s v="NA"/>
    <s v="Nelson"/>
    <s v="Valarie"/>
    <s v="Medium"/>
    <s v=""/>
  </r>
  <r>
    <n v="10406"/>
    <n v="61"/>
    <n v="100"/>
    <n v="3"/>
    <n v="8374.69"/>
    <d v="2005-04-15T00:00:00"/>
    <s v="Disputed"/>
    <n v="2"/>
    <n v="4"/>
    <x v="2"/>
    <x v="1"/>
    <n v="141"/>
    <s v="S18_1129"/>
    <s v="Danish Wholesale Imports"/>
    <s v="31 12 3555"/>
    <s v="Vinb'ltet 34"/>
    <m/>
    <s v="Kobenhavn"/>
    <m/>
    <n v="1734"/>
    <x v="13"/>
    <s v="EMEA"/>
    <s v="Petersen"/>
    <s v="Jytte"/>
    <s v="Large"/>
    <s v=""/>
  </r>
  <r>
    <n v="10102"/>
    <n v="39"/>
    <n v="100"/>
    <n v="2"/>
    <n v="4808.3100000000004"/>
    <d v="2003-01-10T00:00:00"/>
    <s v="Shipped"/>
    <n v="1"/>
    <n v="1"/>
    <x v="0"/>
    <x v="3"/>
    <n v="102"/>
    <s v="S18_1342"/>
    <s v="Vitachrome Inc."/>
    <n v="2125551500"/>
    <s v="2678 Kingston Rd."/>
    <s v="Suite 101"/>
    <s v="NYC"/>
    <s v="NY"/>
    <n v="10022"/>
    <x v="0"/>
    <s v="NA"/>
    <s v="Frick"/>
    <s v="Michael"/>
    <s v="Medium"/>
    <s v=""/>
  </r>
  <r>
    <n v="10111"/>
    <n v="33"/>
    <n v="99.66"/>
    <n v="6"/>
    <n v="3288.78"/>
    <d v="2003-03-25T00:00:00"/>
    <s v="Shipped"/>
    <n v="1"/>
    <n v="3"/>
    <x v="0"/>
    <x v="3"/>
    <n v="102"/>
    <s v="S18_1342"/>
    <s v="Mini Wheels Co."/>
    <n v="6505555787"/>
    <s v="5557 North Pendale Street"/>
    <m/>
    <s v="San Francisco"/>
    <s v="CA"/>
    <m/>
    <x v="0"/>
    <s v="NA"/>
    <s v="Murphy"/>
    <s v="Julie"/>
    <s v="Medium"/>
    <s v=""/>
  </r>
  <r>
    <n v="10125"/>
    <n v="32"/>
    <n v="100"/>
    <n v="1"/>
    <n v="3254.72"/>
    <d v="2003-05-21T00:00:00"/>
    <s v="Shipped"/>
    <n v="2"/>
    <n v="5"/>
    <x v="0"/>
    <x v="3"/>
    <n v="102"/>
    <s v="S18_134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  <s v=""/>
  </r>
  <r>
    <n v="10139"/>
    <n v="31"/>
    <n v="100"/>
    <n v="7"/>
    <n v="3184.94"/>
    <d v="2003-07-16T00:00:00"/>
    <s v="Shipped"/>
    <n v="3"/>
    <n v="7"/>
    <x v="0"/>
    <x v="3"/>
    <n v="102"/>
    <s v="S18_134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  <s v=""/>
  </r>
  <r>
    <n v="10149"/>
    <n v="50"/>
    <n v="100"/>
    <n v="4"/>
    <n v="5907.5"/>
    <d v="2003-09-12T00:00:00"/>
    <s v="Shipped"/>
    <n v="3"/>
    <n v="9"/>
    <x v="0"/>
    <x v="3"/>
    <n v="102"/>
    <s v="S18_1342"/>
    <s v="Signal Collectibles Ltd."/>
    <n v="4155554312"/>
    <s v="2793 Furth Circle"/>
    <m/>
    <s v="Brisbane"/>
    <s v="CA"/>
    <n v="94217"/>
    <x v="0"/>
    <s v="NA"/>
    <s v="Taylor"/>
    <s v="Sue"/>
    <s v="Medium"/>
    <s v=""/>
  </r>
  <r>
    <n v="10162"/>
    <n v="48"/>
    <n v="91.44"/>
    <n v="2"/>
    <n v="4389.12"/>
    <d v="2003-10-18T00:00:00"/>
    <s v="Shipped"/>
    <n v="4"/>
    <n v="10"/>
    <x v="0"/>
    <x v="3"/>
    <n v="102"/>
    <s v="S18_1342"/>
    <s v="Corporate Gift Ideas Co."/>
    <n v="6505551386"/>
    <s v="7734 Strong St."/>
    <m/>
    <s v="San Francisco"/>
    <s v="CA"/>
    <m/>
    <x v="0"/>
    <s v="NA"/>
    <s v="Brown"/>
    <s v="Julie"/>
    <s v="Medium"/>
    <s v=""/>
  </r>
  <r>
    <n v="10173"/>
    <n v="43"/>
    <n v="100"/>
    <n v="6"/>
    <n v="5036.16"/>
    <d v="2003-11-05T00:00:00"/>
    <s v="Shipped"/>
    <n v="4"/>
    <n v="11"/>
    <x v="0"/>
    <x v="3"/>
    <n v="102"/>
    <s v="S18_1342"/>
    <s v="Rovelli Gifts"/>
    <s v="035-640555"/>
    <s v="Via Ludovico il Moro 22"/>
    <m/>
    <s v="Bergamo"/>
    <m/>
    <n v="24100"/>
    <x v="12"/>
    <s v="EMEA"/>
    <s v="Rovelli"/>
    <s v="Giovanni"/>
    <s v="Medium"/>
    <s v=""/>
  </r>
  <r>
    <n v="10182"/>
    <n v="25"/>
    <n v="87.33"/>
    <n v="3"/>
    <n v="2183.25"/>
    <d v="2003-11-12T00:00:00"/>
    <s v="Shipped"/>
    <n v="4"/>
    <n v="11"/>
    <x v="0"/>
    <x v="3"/>
    <n v="102"/>
    <s v="S18_1342"/>
    <s v="Mini Gifts Distributors Ltd."/>
    <n v="4155551450"/>
    <s v="5677 Strong St."/>
    <m/>
    <s v="San Rafael"/>
    <s v="CA"/>
    <n v="97562"/>
    <x v="0"/>
    <s v="NA"/>
    <s v="Nelson"/>
    <s v="Valarie"/>
    <s v="Small"/>
    <s v=""/>
  </r>
  <r>
    <n v="10193"/>
    <n v="28"/>
    <n v="100"/>
    <n v="7"/>
    <n v="3106.88"/>
    <d v="2003-11-21T00:00:00"/>
    <s v="Shipped"/>
    <n v="4"/>
    <n v="11"/>
    <x v="0"/>
    <x v="3"/>
    <n v="102"/>
    <s v="S18_1342"/>
    <s v="Australian Collectables, Ltd"/>
    <s v="61-9-3844-6555"/>
    <s v="7 Allen Street"/>
    <m/>
    <s v="Glen Waverly"/>
    <s v="Victoria"/>
    <n v="3150"/>
    <x v="3"/>
    <s v="APAC"/>
    <s v="Connery"/>
    <s v="Sean"/>
    <s v="Medium"/>
    <s v=""/>
  </r>
  <r>
    <n v="10205"/>
    <n v="36"/>
    <n v="100"/>
    <n v="2"/>
    <n v="3735.72"/>
    <d v="2003-12-03T00:00:00"/>
    <s v="Shipped"/>
    <n v="4"/>
    <n v="12"/>
    <x v="0"/>
    <x v="3"/>
    <n v="102"/>
    <s v="S18_1342"/>
    <s v="Euro Shopping Channel"/>
    <s v="(91) 555 94 44"/>
    <s v="C/ Moralzarzal, 86"/>
    <m/>
    <s v="Madrid"/>
    <m/>
    <n v="28034"/>
    <x v="7"/>
    <s v="EMEA"/>
    <s v="Freyre"/>
    <s v="Diego"/>
    <s v="Medium"/>
    <s v=""/>
  </r>
  <r>
    <n v="10227"/>
    <n v="25"/>
    <n v="100"/>
    <n v="3"/>
    <n v="2953.75"/>
    <d v="2004-03-02T00:00:00"/>
    <s v="Shipped"/>
    <n v="1"/>
    <n v="3"/>
    <x v="1"/>
    <x v="3"/>
    <n v="102"/>
    <s v="S18_1342"/>
    <s v="Saveley &amp; Henriot, Co."/>
    <s v="78.32.5555"/>
    <s v="2, rue du Commerce"/>
    <m/>
    <s v="Lyon"/>
    <m/>
    <n v="69004"/>
    <x v="1"/>
    <s v="EMEA"/>
    <s v="Saveley"/>
    <s v="Mary"/>
    <s v="Small"/>
    <s v=""/>
  </r>
  <r>
    <n v="10244"/>
    <n v="40"/>
    <n v="100"/>
    <n v="7"/>
    <n v="4684.8"/>
    <d v="2004-04-29T00:00:00"/>
    <s v="Shipped"/>
    <n v="2"/>
    <n v="4"/>
    <x v="1"/>
    <x v="3"/>
    <n v="102"/>
    <s v="S18_1342"/>
    <s v="Euro Shopping Channel"/>
    <s v="(91) 555 94 44"/>
    <s v="C/ Moralzarzal, 86"/>
    <m/>
    <s v="Madrid"/>
    <m/>
    <n v="28034"/>
    <x v="7"/>
    <s v="EMEA"/>
    <s v="Freyre"/>
    <s v="Diego"/>
    <s v="Medium"/>
    <s v=""/>
  </r>
  <r>
    <n v="10256"/>
    <n v="34"/>
    <n v="95.55"/>
    <n v="2"/>
    <n v="3248.7"/>
    <d v="2004-06-08T00:00:00"/>
    <s v="Shipped"/>
    <n v="2"/>
    <n v="6"/>
    <x v="1"/>
    <x v="3"/>
    <n v="102"/>
    <s v="S18_1342"/>
    <s v="Danish Wholesale Imports"/>
    <s v="31 12 3555"/>
    <s v="Vinb'ltet 34"/>
    <m/>
    <s v="Kobenhavn"/>
    <m/>
    <n v="1734"/>
    <x v="13"/>
    <s v="EMEA"/>
    <s v="Petersen"/>
    <s v="Jytte"/>
    <s v="Medium"/>
    <s v=""/>
  </r>
  <r>
    <n v="10289"/>
    <n v="38"/>
    <n v="100"/>
    <n v="2"/>
    <n v="4567.9799999999996"/>
    <d v="2004-09-03T00:00:00"/>
    <s v="Shipped"/>
    <n v="3"/>
    <n v="9"/>
    <x v="1"/>
    <x v="3"/>
    <n v="102"/>
    <s v="S18_1342"/>
    <s v="Herkku Gifts"/>
    <s v="+47 2267 3215"/>
    <s v="Drammen 121, PR 744 Sentrum"/>
    <m/>
    <s v="Bergen"/>
    <m/>
    <s v="N 5804"/>
    <x v="2"/>
    <s v="EMEA"/>
    <s v="Oeztan"/>
    <s v="Veysel"/>
    <s v="Medium"/>
    <s v=""/>
  </r>
  <r>
    <n v="10332"/>
    <n v="46"/>
    <n v="95.13"/>
    <n v="15"/>
    <n v="4375.9799999999996"/>
    <d v="2004-11-17T00:00:00"/>
    <s v="Shipped"/>
    <n v="4"/>
    <n v="11"/>
    <x v="1"/>
    <x v="3"/>
    <n v="102"/>
    <s v="S18_1342"/>
    <s v="AV Stores, Co."/>
    <s v="(171) 555-1555"/>
    <s v="Fauntleroy Circus"/>
    <m/>
    <s v="Manchester"/>
    <m/>
    <s v="EC2 5NT"/>
    <x v="6"/>
    <s v="EMEA"/>
    <s v="Ashworth"/>
    <s v="Victoria"/>
    <s v="Medium"/>
    <s v=""/>
  </r>
  <r>
    <n v="10346"/>
    <n v="42"/>
    <n v="36.11"/>
    <n v="3"/>
    <n v="1516.62"/>
    <d v="2004-11-29T00:00:00"/>
    <s v="Shipped"/>
    <n v="4"/>
    <n v="11"/>
    <x v="1"/>
    <x v="3"/>
    <n v="102"/>
    <s v="S18_1342"/>
    <s v="Signal Gift Stores"/>
    <n v="7025551838"/>
    <s v="8489 Strong St."/>
    <m/>
    <s v="Las Vegas"/>
    <s v="NV"/>
    <n v="83030"/>
    <x v="0"/>
    <s v="NA"/>
    <s v="King"/>
    <s v="Sue"/>
    <s v="Small"/>
    <s v=""/>
  </r>
  <r>
    <n v="10380"/>
    <n v="27"/>
    <n v="93.16"/>
    <n v="13"/>
    <n v="2515.3200000000002"/>
    <d v="2005-02-16T00:00:00"/>
    <s v="Shipped"/>
    <n v="1"/>
    <n v="2"/>
    <x v="2"/>
    <x v="3"/>
    <n v="102"/>
    <s v="S18_1342"/>
    <s v="Euro Shopping Channel"/>
    <s v="(91) 555 94 44"/>
    <s v="C/ Moralzarzal, 86"/>
    <m/>
    <s v="Madrid"/>
    <m/>
    <n v="28034"/>
    <x v="7"/>
    <s v="EMEA"/>
    <s v="Freyre"/>
    <s v="Diego"/>
    <s v="Small"/>
    <s v=""/>
  </r>
  <r>
    <n v="10422"/>
    <n v="51"/>
    <n v="95.55"/>
    <n v="2"/>
    <n v="4873.05"/>
    <d v="2005-05-30T00:00:00"/>
    <s v="In Process"/>
    <n v="2"/>
    <n v="5"/>
    <x v="2"/>
    <x v="3"/>
    <n v="102"/>
    <s v="S18_1342"/>
    <s v="Diecast Classics Inc."/>
    <n v="2155551555"/>
    <s v="7586 Pompton St."/>
    <m/>
    <s v="Allentown"/>
    <s v="PA"/>
    <n v="70267"/>
    <x v="0"/>
    <s v="NA"/>
    <s v="Yu"/>
    <s v="Kyung"/>
    <s v="Medium"/>
    <s v=""/>
  </r>
  <r>
    <n v="10110"/>
    <n v="37"/>
    <n v="100"/>
    <n v="16"/>
    <n v="5433.08"/>
    <d v="2003-03-18T00:00:00"/>
    <s v="Shipped"/>
    <n v="1"/>
    <n v="3"/>
    <x v="0"/>
    <x v="1"/>
    <n v="124"/>
    <s v="S18_1589"/>
    <s v="AV Stores, Co."/>
    <s v="(171) 555-1555"/>
    <s v="Fauntleroy Circus"/>
    <m/>
    <s v="Manchester"/>
    <m/>
    <s v="EC2 5NT"/>
    <x v="6"/>
    <s v="EMEA"/>
    <s v="Ashworth"/>
    <s v="Victoria"/>
    <s v="Medium"/>
    <s v=""/>
  </r>
  <r>
    <n v="10123"/>
    <n v="26"/>
    <n v="100"/>
    <n v="2"/>
    <n v="3073.72"/>
    <d v="2003-05-20T00:00:00"/>
    <s v="Shipped"/>
    <n v="2"/>
    <n v="5"/>
    <x v="0"/>
    <x v="1"/>
    <n v="124"/>
    <s v="S18_1589"/>
    <s v="Atelier graphique"/>
    <s v="40.32.2555"/>
    <s v="54, rue Royale"/>
    <m/>
    <s v="Nantes"/>
    <m/>
    <n v="44000"/>
    <x v="1"/>
    <s v="EMEA"/>
    <s v="Schmitt"/>
    <s v="Carine"/>
    <s v="Medium"/>
    <s v=""/>
  </r>
  <r>
    <n v="10137"/>
    <n v="44"/>
    <n v="99.55"/>
    <n v="2"/>
    <n v="4380.2"/>
    <d v="2003-07-10T00:00:00"/>
    <s v="Shipped"/>
    <n v="3"/>
    <n v="7"/>
    <x v="0"/>
    <x v="1"/>
    <n v="124"/>
    <s v="S18_1589"/>
    <s v="Reims Collectables"/>
    <s v="26.47.1555"/>
    <s v="59 rue de l'Abbaye"/>
    <m/>
    <s v="Reims"/>
    <m/>
    <n v="51100"/>
    <x v="1"/>
    <s v="EMEA"/>
    <s v="Henriot"/>
    <s v="Paul"/>
    <s v="Medium"/>
    <s v=""/>
  </r>
  <r>
    <n v="10172"/>
    <n v="42"/>
    <n v="100"/>
    <n v="6"/>
    <n v="4965.24"/>
    <d v="2003-11-05T00:00:00"/>
    <s v="Shipped"/>
    <n v="4"/>
    <n v="11"/>
    <x v="0"/>
    <x v="1"/>
    <n v="124"/>
    <s v="S18_1589"/>
    <s v="Gift Depot Inc."/>
    <n v="2035552570"/>
    <s v="25593 South Bay Ln."/>
    <m/>
    <s v="Bridgewater"/>
    <s v="CT"/>
    <n v="97562"/>
    <x v="0"/>
    <s v="NA"/>
    <s v="King"/>
    <s v="Julie"/>
    <s v="Medium"/>
    <s v=""/>
  </r>
  <r>
    <n v="10226"/>
    <n v="38"/>
    <n v="100"/>
    <n v="4"/>
    <n v="4161.38"/>
    <d v="2004-02-26T00:00:00"/>
    <s v="Shipped"/>
    <n v="1"/>
    <n v="2"/>
    <x v="1"/>
    <x v="1"/>
    <n v="124"/>
    <s v="S18_1589"/>
    <s v="Collectable Mini Designs Co."/>
    <n v="7605558146"/>
    <s v="361 Furth Circle"/>
    <m/>
    <s v="San Diego"/>
    <s v="CA"/>
    <n v="91217"/>
    <x v="0"/>
    <s v="NA"/>
    <s v="Thompson"/>
    <s v="Valarie"/>
    <s v="Medium"/>
    <s v=""/>
  </r>
  <r>
    <n v="10241"/>
    <n v="21"/>
    <n v="100"/>
    <n v="11"/>
    <n v="2508.66"/>
    <d v="2004-04-13T00:00:00"/>
    <s v="Shipped"/>
    <n v="2"/>
    <n v="4"/>
    <x v="1"/>
    <x v="1"/>
    <n v="124"/>
    <s v="S18_1589"/>
    <s v="Mini Caravy"/>
    <s v="88.60.1555"/>
    <s v="24, place Kluber"/>
    <m/>
    <s v="Strasbourg"/>
    <m/>
    <n v="67000"/>
    <x v="1"/>
    <s v="EMEA"/>
    <s v="Citeaux"/>
    <s v="Frederique"/>
    <s v="Small"/>
    <s v=""/>
  </r>
  <r>
    <n v="10288"/>
    <n v="20"/>
    <n v="100"/>
    <n v="14"/>
    <n v="2936.8"/>
    <d v="2004-09-01T00:00:00"/>
    <s v="Shipped"/>
    <n v="3"/>
    <n v="9"/>
    <x v="1"/>
    <x v="1"/>
    <n v="124"/>
    <s v="S18_1589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  <s v=""/>
  </r>
  <r>
    <n v="10311"/>
    <n v="29"/>
    <n v="100"/>
    <n v="9"/>
    <n v="2923.2"/>
    <d v="2004-10-16T00:00:00"/>
    <s v="Shipped"/>
    <n v="4"/>
    <n v="10"/>
    <x v="1"/>
    <x v="1"/>
    <n v="124"/>
    <s v="S18_1589"/>
    <s v="Euro Shopping Channel"/>
    <s v="(91) 555 94 44"/>
    <s v="C/ Moralzarzal, 86"/>
    <m/>
    <s v="Madrid"/>
    <m/>
    <n v="28034"/>
    <x v="7"/>
    <s v="EMEA"/>
    <s v="Freyre"/>
    <s v="Diego"/>
    <s v="Small"/>
    <s v=""/>
  </r>
  <r>
    <n v="10343"/>
    <n v="36"/>
    <n v="100"/>
    <n v="4"/>
    <n v="5848.92"/>
    <d v="2004-11-24T00:00:00"/>
    <s v="Shipped"/>
    <n v="4"/>
    <n v="11"/>
    <x v="1"/>
    <x v="1"/>
    <n v="124"/>
    <s v="S18_1589"/>
    <s v="Reims Collectables"/>
    <s v="26.47.1555"/>
    <s v="59 rue de l'Abbaye"/>
    <m/>
    <s v="Reims"/>
    <m/>
    <n v="51100"/>
    <x v="1"/>
    <s v="EMEA"/>
    <s v="Henriot"/>
    <s v="Paul"/>
    <s v="Medium"/>
    <s v=""/>
  </r>
  <r>
    <n v="10367"/>
    <n v="49"/>
    <n v="56.3"/>
    <n v="1"/>
    <n v="2758.7"/>
    <d v="2005-01-12T00:00:00"/>
    <s v="Resolved"/>
    <n v="1"/>
    <n v="1"/>
    <x v="2"/>
    <x v="1"/>
    <n v="124"/>
    <s v="S18_1589"/>
    <s v="Toys4GrownUps.com"/>
    <n v="6265557265"/>
    <s v="78934 Hillside Dr."/>
    <m/>
    <s v="Pasadena"/>
    <s v="CA"/>
    <n v="90003"/>
    <x v="0"/>
    <s v="NA"/>
    <s v="Young"/>
    <s v="Julie"/>
    <s v="Small"/>
    <s v=""/>
  </r>
  <r>
    <n v="10378"/>
    <n v="34"/>
    <n v="42.64"/>
    <n v="5"/>
    <n v="1449.76"/>
    <d v="2005-02-10T00:00:00"/>
    <s v="Shipped"/>
    <n v="1"/>
    <n v="2"/>
    <x v="2"/>
    <x v="1"/>
    <n v="124"/>
    <s v="S18_1589"/>
    <s v="Euro Shopping Channel"/>
    <s v="(91) 555 94 44"/>
    <s v="C/ Moralzarzal, 86"/>
    <m/>
    <s v="Madrid"/>
    <m/>
    <n v="28034"/>
    <x v="7"/>
    <s v="EMEA"/>
    <s v="Freyre"/>
    <s v="Diego"/>
    <s v="Small"/>
    <s v=""/>
  </r>
  <r>
    <n v="10407"/>
    <n v="59"/>
    <n v="100"/>
    <n v="11"/>
    <n v="7048.14"/>
    <d v="2005-04-22T00:00:00"/>
    <s v="On Hold"/>
    <n v="2"/>
    <n v="4"/>
    <x v="2"/>
    <x v="1"/>
    <n v="124"/>
    <s v="S18_1589"/>
    <s v="The Sharp Gifts Warehouse"/>
    <n v="4085553659"/>
    <s v="3086 Ingle Ln."/>
    <m/>
    <s v="San Jose"/>
    <s v="CA"/>
    <n v="94217"/>
    <x v="0"/>
    <s v="NA"/>
    <s v="Frick"/>
    <s v="Sue"/>
    <s v="Large"/>
    <s v=""/>
  </r>
  <r>
    <n v="10106"/>
    <n v="36"/>
    <n v="100"/>
    <n v="12"/>
    <n v="5279.4"/>
    <d v="2003-02-17T00:00:00"/>
    <s v="Shipped"/>
    <n v="1"/>
    <n v="2"/>
    <x v="0"/>
    <x v="4"/>
    <n v="157"/>
    <s v="S18_1662"/>
    <s v="Rovelli Gifts"/>
    <s v="035-640555"/>
    <s v="Via Ludovico il Moro 22"/>
    <m/>
    <s v="Bergamo"/>
    <m/>
    <n v="24100"/>
    <x v="12"/>
    <s v="EMEA"/>
    <s v="Rovelli"/>
    <s v="Giovanni"/>
    <s v="Medium"/>
    <s v=""/>
  </r>
  <r>
    <n v="10131"/>
    <n v="21"/>
    <n v="100"/>
    <n v="4"/>
    <n v="2781.66"/>
    <d v="2003-06-16T00:00:00"/>
    <s v="Shipped"/>
    <n v="2"/>
    <n v="6"/>
    <x v="0"/>
    <x v="4"/>
    <n v="157"/>
    <s v="S18_1662"/>
    <s v="Gift Ideas Corp."/>
    <n v="2035554407"/>
    <s v="2440 Pompton St."/>
    <m/>
    <s v="Glendale"/>
    <s v="CT"/>
    <n v="97561"/>
    <x v="0"/>
    <s v="NA"/>
    <s v="Lewis"/>
    <s v="Dan"/>
    <s v="Small"/>
    <s v=""/>
  </r>
  <r>
    <n v="10198"/>
    <n v="42"/>
    <n v="100"/>
    <n v="4"/>
    <n v="7483.98"/>
    <d v="2003-11-27T00:00:00"/>
    <s v="Shipped"/>
    <n v="4"/>
    <n v="11"/>
    <x v="0"/>
    <x v="4"/>
    <n v="157"/>
    <s v="S18_1662"/>
    <s v="Cruz &amp; Sons Co."/>
    <s v="+63 2 555 3587"/>
    <s v="15 McCallum Street - NatWest Center #13-03"/>
    <m/>
    <s v="Makati City"/>
    <m/>
    <s v="1227 MM"/>
    <x v="15"/>
    <s v="Japan"/>
    <s v="Cruz"/>
    <s v="Arnold"/>
    <s v="Large"/>
    <s v=""/>
  </r>
  <r>
    <n v="10250"/>
    <n v="45"/>
    <n v="100"/>
    <n v="14"/>
    <n v="8160.3"/>
    <d v="2004-05-11T00:00:00"/>
    <s v="Shipped"/>
    <n v="2"/>
    <n v="5"/>
    <x v="1"/>
    <x v="4"/>
    <n v="157"/>
    <s v="S18_1662"/>
    <s v="The Sharp Gifts Warehouse"/>
    <n v="4085553659"/>
    <s v="3086 Ingle Ln."/>
    <m/>
    <s v="San Jose"/>
    <s v="CA"/>
    <n v="94217"/>
    <x v="0"/>
    <s v="NA"/>
    <s v="Frick"/>
    <s v="Sue"/>
    <s v="Large"/>
    <s v=""/>
  </r>
  <r>
    <n v="10262"/>
    <n v="49"/>
    <n v="100"/>
    <n v="9"/>
    <n v="6567.96"/>
    <d v="2004-06-24T00:00:00"/>
    <s v="Cancelled"/>
    <n v="2"/>
    <n v="6"/>
    <x v="1"/>
    <x v="4"/>
    <n v="157"/>
    <s v="S18_1662"/>
    <s v="Euro Shopping Channel"/>
    <s v="(91) 555 94 44"/>
    <s v="C/ Moralzarzal, 86"/>
    <m/>
    <s v="Madrid"/>
    <m/>
    <n v="28034"/>
    <x v="7"/>
    <s v="EMEA"/>
    <s v="Freyre"/>
    <s v="Diego"/>
    <s v="Medium"/>
    <s v=""/>
  </r>
  <r>
    <n v="10274"/>
    <n v="41"/>
    <n v="100"/>
    <n v="1"/>
    <n v="6724"/>
    <d v="2004-07-21T00:00:00"/>
    <s v="Shipped"/>
    <n v="3"/>
    <n v="7"/>
    <x v="1"/>
    <x v="4"/>
    <n v="157"/>
    <s v="S18_1662"/>
    <s v="Collectables For Less Inc."/>
    <n v="6175558555"/>
    <s v="7825 Douglas Av."/>
    <m/>
    <s v="Brickhaven"/>
    <s v="MA"/>
    <n v="58339"/>
    <x v="0"/>
    <s v="NA"/>
    <s v="Nelson"/>
    <s v="Allen"/>
    <s v="Medium"/>
    <s v=""/>
  </r>
  <r>
    <n v="10284"/>
    <n v="45"/>
    <n v="100"/>
    <n v="11"/>
    <n v="5747.85"/>
    <d v="2004-08-21T00:00:00"/>
    <s v="Shipped"/>
    <n v="3"/>
    <n v="8"/>
    <x v="1"/>
    <x v="4"/>
    <n v="157"/>
    <s v="S18_1662"/>
    <s v="Norway Gifts By Mail, Co."/>
    <s v="+47 2212 1555"/>
    <s v="Drammensveien 126 A, PB 744 Sentrum"/>
    <m/>
    <s v="Oslo"/>
    <m/>
    <s v="N 0106"/>
    <x v="2"/>
    <s v="EMEA"/>
    <s v="Klaeboe"/>
    <s v="Jan"/>
    <s v="Medium"/>
    <s v=""/>
  </r>
  <r>
    <n v="10296"/>
    <n v="36"/>
    <n v="100"/>
    <n v="7"/>
    <n v="5676.84"/>
    <d v="2004-09-15T00:00:00"/>
    <s v="Shipped"/>
    <n v="3"/>
    <n v="9"/>
    <x v="1"/>
    <x v="4"/>
    <n v="157"/>
    <s v="S18_1662"/>
    <s v="Bavarian Collectables Imports, Co."/>
    <s v="+49 89 61 08 9555"/>
    <s v="Hansastr. 15"/>
    <m/>
    <s v="Munich"/>
    <m/>
    <n v="80686"/>
    <x v="16"/>
    <s v="EMEA"/>
    <s v="Donnermeyer"/>
    <s v="Michael"/>
    <s v="Medium"/>
    <s v=""/>
  </r>
  <r>
    <n v="10327"/>
    <n v="25"/>
    <n v="100"/>
    <n v="6"/>
    <n v="2804.75"/>
    <d v="2004-11-10T00:00:00"/>
    <s v="Resolved"/>
    <n v="4"/>
    <n v="11"/>
    <x v="1"/>
    <x v="4"/>
    <n v="157"/>
    <s v="S18_1662"/>
    <s v="Danish Wholesale Imports"/>
    <s v="31 12 3555"/>
    <s v="Vinb'ltet 34"/>
    <m/>
    <s v="Kobenhavn"/>
    <m/>
    <n v="1734"/>
    <x v="13"/>
    <s v="EMEA"/>
    <s v="Petersen"/>
    <s v="Jytte"/>
    <s v="Small"/>
    <s v=""/>
  </r>
  <r>
    <n v="10338"/>
    <n v="41"/>
    <n v="100"/>
    <n v="1"/>
    <n v="5624.79"/>
    <d v="2004-11-22T00:00:00"/>
    <s v="Shipped"/>
    <n v="4"/>
    <n v="11"/>
    <x v="1"/>
    <x v="4"/>
    <n v="157"/>
    <s v="S18_1662"/>
    <s v="Royale Belge"/>
    <s v="(071) 23 67 2555"/>
    <s v="Boulevard Tirou, 255"/>
    <m/>
    <s v="Charleroi"/>
    <m/>
    <s v="B-6000"/>
    <x v="14"/>
    <s v="EMEA"/>
    <s v="Cartrain"/>
    <s v="Pascale"/>
    <s v="Medium"/>
    <s v=""/>
  </r>
  <r>
    <n v="10351"/>
    <n v="39"/>
    <n v="99.52"/>
    <n v="1"/>
    <n v="3881.28"/>
    <d v="2004-12-03T00:00:00"/>
    <s v="Shipped"/>
    <n v="4"/>
    <n v="12"/>
    <x v="1"/>
    <x v="4"/>
    <n v="157"/>
    <s v="S18_1662"/>
    <s v="Stylish Desk Decors, Co."/>
    <s v="(171) 555-0297"/>
    <s v="35 King George"/>
    <m/>
    <s v="London"/>
    <m/>
    <s v="WX3 6FW"/>
    <x v="6"/>
    <s v="EMEA"/>
    <s v="Brown"/>
    <s v="Ann"/>
    <s v="Medium"/>
    <s v=""/>
  </r>
  <r>
    <n v="10386"/>
    <n v="25"/>
    <n v="54.57"/>
    <n v="7"/>
    <n v="1364.25"/>
    <d v="2005-03-01T00:00:00"/>
    <s v="Resolved"/>
    <n v="1"/>
    <n v="3"/>
    <x v="2"/>
    <x v="4"/>
    <n v="157"/>
    <s v="S18_1662"/>
    <s v="Euro Shopping Channel"/>
    <s v="(91) 555 94 44"/>
    <s v="C/ Moralzarzal, 86"/>
    <m/>
    <s v="Madrid"/>
    <m/>
    <n v="28034"/>
    <x v="7"/>
    <s v="EMEA"/>
    <s v="Freyre"/>
    <s v="Diego"/>
    <s v="Small"/>
    <s v=""/>
  </r>
  <r>
    <n v="10398"/>
    <n v="33"/>
    <n v="100"/>
    <n v="11"/>
    <n v="4215.09"/>
    <d v="2005-03-30T00:00:00"/>
    <s v="Shipped"/>
    <n v="1"/>
    <n v="3"/>
    <x v="2"/>
    <x v="4"/>
    <n v="157"/>
    <s v="S18_1662"/>
    <s v="Reims Collectables"/>
    <s v="26.47.1555"/>
    <s v="59 rue de l'Abbaye"/>
    <m/>
    <s v="Reims"/>
    <m/>
    <n v="51100"/>
    <x v="1"/>
    <s v="EMEA"/>
    <s v="Henriot"/>
    <s v="Paul"/>
    <s v="Medium"/>
    <s v=""/>
  </r>
  <r>
    <n v="10416"/>
    <n v="24"/>
    <n v="100"/>
    <n v="14"/>
    <n v="4352.16"/>
    <d v="2005-05-10T00:00:00"/>
    <s v="Shipped"/>
    <n v="2"/>
    <n v="5"/>
    <x v="2"/>
    <x v="4"/>
    <n v="157"/>
    <s v="S18_1662"/>
    <s v="L'ordine Souveniers"/>
    <s v="0522-556555"/>
    <s v="Strada Provinciale 124"/>
    <m/>
    <s v="Reggio Emilia"/>
    <m/>
    <n v="42100"/>
    <x v="12"/>
    <s v="EMEA"/>
    <s v="Moroni"/>
    <s v="Maurizio"/>
    <s v="Medium"/>
    <s v=""/>
  </r>
  <r>
    <n v="10100"/>
    <n v="30"/>
    <n v="100"/>
    <n v="3"/>
    <n v="5151"/>
    <d v="2003-01-06T00:00:00"/>
    <s v="Shipped"/>
    <n v="1"/>
    <n v="1"/>
    <x v="0"/>
    <x v="3"/>
    <n v="170"/>
    <s v="S18_1749"/>
    <s v="Online Diecast Creations Co."/>
    <n v="6035558647"/>
    <s v="2304 Long Airport Avenue"/>
    <m/>
    <s v="Nashua"/>
    <s v="NH"/>
    <n v="62005"/>
    <x v="0"/>
    <s v="NA"/>
    <s v="Young"/>
    <s v="Valarie"/>
    <s v="Medium"/>
    <s v=""/>
  </r>
  <r>
    <n v="10124"/>
    <n v="21"/>
    <n v="100"/>
    <n v="6"/>
    <n v="2856"/>
    <d v="2003-05-21T00:00:00"/>
    <s v="Shipped"/>
    <n v="2"/>
    <n v="5"/>
    <x v="0"/>
    <x v="3"/>
    <n v="170"/>
    <s v="S18_1749"/>
    <s v="Signal Gift Stores"/>
    <n v="7025551838"/>
    <s v="8489 Strong St."/>
    <m/>
    <s v="Las Vegas"/>
    <s v="NV"/>
    <n v="83030"/>
    <x v="0"/>
    <s v="NA"/>
    <s v="King"/>
    <s v="Sue"/>
    <s v="Small"/>
    <s v=""/>
  </r>
  <r>
    <n v="10214"/>
    <n v="30"/>
    <n v="100"/>
    <n v="7"/>
    <n v="5967"/>
    <d v="2004-01-26T00:00:00"/>
    <s v="Shipped"/>
    <n v="1"/>
    <n v="1"/>
    <x v="1"/>
    <x v="3"/>
    <n v="170"/>
    <s v="S18_1749"/>
    <s v="Corrida Auto Replicas, Ltd"/>
    <s v="(91) 555 22 82"/>
    <s v="C/ Araquil, 67"/>
    <m/>
    <s v="Madrid"/>
    <m/>
    <n v="28023"/>
    <x v="7"/>
    <s v="EMEA"/>
    <s v="Sommer"/>
    <s v="Mart¡n"/>
    <s v="Medium"/>
    <s v=""/>
  </r>
  <r>
    <n v="10302"/>
    <n v="43"/>
    <n v="100"/>
    <n v="1"/>
    <n v="7310"/>
    <d v="2003-10-06T00:00:00"/>
    <s v="Shipped"/>
    <n v="4"/>
    <n v="10"/>
    <x v="0"/>
    <x v="3"/>
    <n v="170"/>
    <s v="S18_1749"/>
    <s v="UK Collectables, Ltd."/>
    <s v="(171) 555-2282"/>
    <s v="Berkeley Gardens 12  Brewery"/>
    <m/>
    <s v="Liverpool"/>
    <m/>
    <s v="WX1 6LT"/>
    <x v="6"/>
    <s v="EMEA"/>
    <s v="Devon"/>
    <s v="Elizabeth"/>
    <s v="Large"/>
    <s v=""/>
  </r>
  <r>
    <n v="10344"/>
    <n v="45"/>
    <n v="100"/>
    <n v="1"/>
    <n v="7650"/>
    <d v="2004-11-25T00:00:00"/>
    <s v="Shipped"/>
    <n v="4"/>
    <n v="11"/>
    <x v="1"/>
    <x v="3"/>
    <n v="170"/>
    <s v="S18_1749"/>
    <s v="Marseille Mini Autos"/>
    <s v="91.24.4555"/>
    <s v="12, rue des Bouchers"/>
    <m/>
    <s v="Marseille"/>
    <m/>
    <n v="13008"/>
    <x v="1"/>
    <s v="EMEA"/>
    <s v="Lebihan"/>
    <s v="Laurence"/>
    <s v="Large"/>
    <s v=""/>
  </r>
  <r>
    <n v="10379"/>
    <n v="39"/>
    <n v="100"/>
    <n v="2"/>
    <n v="5399.55"/>
    <d v="2005-02-10T00:00:00"/>
    <s v="Shipped"/>
    <n v="1"/>
    <n v="2"/>
    <x v="2"/>
    <x v="3"/>
    <n v="170"/>
    <s v="S18_1749"/>
    <s v="Euro Shopping Channel"/>
    <s v="(91) 555 94 44"/>
    <s v="C/ Moralzarzal, 86"/>
    <m/>
    <s v="Madrid"/>
    <m/>
    <n v="28034"/>
    <x v="7"/>
    <s v="EMEA"/>
    <s v="Freyre"/>
    <s v="Diego"/>
    <s v="Medium"/>
    <s v=""/>
  </r>
  <r>
    <n v="10420"/>
    <n v="37"/>
    <n v="100"/>
    <n v="5"/>
    <n v="5283.6"/>
    <d v="2005-05-29T00:00:00"/>
    <s v="In Process"/>
    <n v="2"/>
    <n v="5"/>
    <x v="2"/>
    <x v="3"/>
    <n v="170"/>
    <s v="S18_17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  <s v=""/>
  </r>
  <r>
    <n v="10366"/>
    <n v="34"/>
    <n v="100"/>
    <n v="3"/>
    <n v="4207.84"/>
    <d v="2005-01-10T00:00:00"/>
    <s v="Shipped"/>
    <n v="1"/>
    <n v="1"/>
    <x v="2"/>
    <x v="1"/>
    <n v="142"/>
    <s v="S18_1984"/>
    <s v="Royale Belge"/>
    <s v="(071) 23 67 2555"/>
    <s v="Boulevard Tirou, 255"/>
    <m/>
    <s v="Charleroi"/>
    <m/>
    <s v="B-6000"/>
    <x v="14"/>
    <s v="EMEA"/>
    <s v="Cartrain"/>
    <s v="Pascale"/>
    <s v="Medium"/>
    <s v=""/>
  </r>
  <r>
    <n v="10303"/>
    <n v="46"/>
    <n v="49.04"/>
    <n v="2"/>
    <n v="2255.84"/>
    <d v="2004-10-06T00:00:00"/>
    <s v="Shipped"/>
    <n v="4"/>
    <n v="10"/>
    <x v="1"/>
    <x v="3"/>
    <n v="60"/>
    <s v="S18_2248"/>
    <s v="Iberia Gift Imports, Corp."/>
    <s v="(95) 555 82 82"/>
    <s v="C/ Romero, 33"/>
    <m/>
    <s v="Sevilla"/>
    <m/>
    <n v="41101"/>
    <x v="7"/>
    <s v="EMEA"/>
    <s v="Roel"/>
    <s v="Jose Pedro"/>
    <s v="Small"/>
    <s v=""/>
  </r>
  <r>
    <n v="10383"/>
    <n v="27"/>
    <n v="100"/>
    <n v="11"/>
    <n v="3843.99"/>
    <d v="2005-02-22T00:00:00"/>
    <s v="Shipped"/>
    <n v="1"/>
    <n v="2"/>
    <x v="2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s v="Medium"/>
    <s v=""/>
  </r>
  <r>
    <n v="10101"/>
    <n v="25"/>
    <n v="100"/>
    <n v="4"/>
    <n v="3782"/>
    <d v="2003-01-09T00:00:00"/>
    <s v="Shipped"/>
    <n v="1"/>
    <n v="1"/>
    <x v="0"/>
    <x v="3"/>
    <n v="127"/>
    <s v="S18_2325"/>
    <s v="Blauer See Auto, Co."/>
    <s v="+49 69 66 90 2555"/>
    <s v="Lyonerstr. 34"/>
    <m/>
    <s v="Frankfurt"/>
    <m/>
    <n v="60528"/>
    <x v="16"/>
    <s v="EMEA"/>
    <s v="Keitel"/>
    <s v="Roland"/>
    <s v="Medium"/>
    <s v=""/>
  </r>
  <r>
    <n v="10243"/>
    <n v="47"/>
    <n v="100"/>
    <n v="2"/>
    <n v="6154.18"/>
    <d v="2004-04-26T00:00:00"/>
    <s v="Shipped"/>
    <n v="2"/>
    <n v="4"/>
    <x v="1"/>
    <x v="3"/>
    <n v="127"/>
    <s v="S18_2325"/>
    <s v="Diecast Collectables"/>
    <n v="6175552555"/>
    <s v="6251 Ingle Ln."/>
    <m/>
    <s v="Boston"/>
    <s v="MA"/>
    <n v="51003"/>
    <x v="0"/>
    <s v="NA"/>
    <s v="Franco"/>
    <s v="Valarie"/>
    <s v="Medium"/>
    <s v=""/>
  </r>
  <r>
    <n v="10409"/>
    <n v="6"/>
    <n v="100"/>
    <n v="2"/>
    <n v="785.64"/>
    <d v="2005-04-23T00:00:00"/>
    <s v="Shipped"/>
    <n v="2"/>
    <n v="4"/>
    <x v="2"/>
    <x v="3"/>
    <n v="127"/>
    <s v="S18_2325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  <s v=""/>
  </r>
  <r>
    <n v="10133"/>
    <n v="49"/>
    <n v="69.27"/>
    <n v="3"/>
    <n v="3394.23"/>
    <d v="2003-06-27T00:00:00"/>
    <s v="Shipped"/>
    <n v="2"/>
    <n v="6"/>
    <x v="0"/>
    <x v="4"/>
    <n v="84"/>
    <s v="S18_2581"/>
    <s v="Euro Shopping Channel"/>
    <s v="(91) 555 94 44"/>
    <s v="C/ Moralzarzal, 86"/>
    <m/>
    <s v="Madrid"/>
    <m/>
    <n v="28034"/>
    <x v="7"/>
    <s v="EMEA"/>
    <s v="Freyre"/>
    <s v="Diego"/>
    <s v="Medium"/>
    <s v=""/>
  </r>
  <r>
    <n v="10235"/>
    <n v="24"/>
    <n v="76.03"/>
    <n v="3"/>
    <n v="1824.72"/>
    <d v="2004-04-02T00:00:00"/>
    <s v="Shipped"/>
    <n v="2"/>
    <n v="4"/>
    <x v="1"/>
    <x v="4"/>
    <n v="84"/>
    <s v="S18_2581"/>
    <s v="Royal Canadian Collectables, Ltd."/>
    <s v="(604) 555-4555"/>
    <s v="23 Tsawassen Blvd."/>
    <m/>
    <s v="Tsawassen"/>
    <s v="BC"/>
    <s v="T2F 8M4"/>
    <x v="10"/>
    <s v="NA"/>
    <s v="Lincoln"/>
    <s v="Elizabeth"/>
    <s v="Small"/>
    <s v=""/>
  </r>
  <r>
    <n v="10297"/>
    <n v="25"/>
    <n v="82.79"/>
    <n v="4"/>
    <n v="2069.75"/>
    <d v="2004-09-16T00:00:00"/>
    <s v="Shipped"/>
    <n v="3"/>
    <n v="9"/>
    <x v="1"/>
    <x v="4"/>
    <n v="84"/>
    <s v="S18_2581"/>
    <s v="Clover Collections, Co."/>
    <s v="+353 1862 1555"/>
    <s v="25 Maiden Lane"/>
    <s v="Floor No. 4"/>
    <s v="Dublin"/>
    <m/>
    <n v="2"/>
    <x v="18"/>
    <s v="EMEA"/>
    <s v="Cassidy"/>
    <s v="Dean"/>
    <s v="Small"/>
    <s v=""/>
  </r>
  <r>
    <n v="10353"/>
    <n v="27"/>
    <n v="100"/>
    <n v="1"/>
    <n v="3515.67"/>
    <d v="2004-12-04T00:00:00"/>
    <s v="Shipped"/>
    <n v="4"/>
    <n v="12"/>
    <x v="1"/>
    <x v="4"/>
    <n v="84"/>
    <s v="S18_2581"/>
    <s v="Gift Ideas Corp."/>
    <n v="2035554407"/>
    <s v="2440 Pompton St."/>
    <m/>
    <s v="Glendale"/>
    <s v="CT"/>
    <n v="97561"/>
    <x v="0"/>
    <s v="NA"/>
    <s v="Lewis"/>
    <s v="Dan"/>
    <s v="Medium"/>
    <s v=""/>
  </r>
  <r>
    <n v="10401"/>
    <n v="42"/>
    <n v="76.03"/>
    <n v="3"/>
    <n v="3193.26"/>
    <d v="2005-04-03T00:00:00"/>
    <s v="On Hold"/>
    <n v="2"/>
    <n v="4"/>
    <x v="2"/>
    <x v="4"/>
    <n v="84"/>
    <s v="S18_2581"/>
    <s v="Tekni Collectables Inc."/>
    <n v="2015559350"/>
    <s v="7476 Moss Rd."/>
    <m/>
    <s v="Newark"/>
    <s v="NJ"/>
    <n v="94019"/>
    <x v="0"/>
    <s v="NA"/>
    <s v="Brown"/>
    <s v="William"/>
    <s v="Medium"/>
    <s v=""/>
  </r>
  <r>
    <n v="10255"/>
    <n v="24"/>
    <n v="100"/>
    <n v="1"/>
    <n v="3726"/>
    <d v="2004-06-04T00:00:00"/>
    <s v="Shipped"/>
    <n v="2"/>
    <n v="6"/>
    <x v="1"/>
    <x v="3"/>
    <n v="168"/>
    <s v="S18_2795"/>
    <s v="Mini Caravy"/>
    <s v="88.60.1555"/>
    <s v="24, place Kluber"/>
    <m/>
    <s v="Strasbourg"/>
    <m/>
    <n v="67000"/>
    <x v="1"/>
    <s v="EMEA"/>
    <s v="Citeaux"/>
    <s v="Frederique"/>
    <s v="Medium"/>
    <s v=""/>
  </r>
  <r>
    <n v="10421"/>
    <n v="35"/>
    <n v="100"/>
    <n v="1"/>
    <n v="5433.75"/>
    <d v="2005-05-29T00:00:00"/>
    <s v="In Process"/>
    <n v="2"/>
    <n v="5"/>
    <x v="2"/>
    <x v="3"/>
    <n v="168"/>
    <s v="S18_2795"/>
    <s v="Mini Gifts Distributors Ltd."/>
    <n v="4155551450"/>
    <s v="5677 Strong St."/>
    <m/>
    <s v="San Rafael"/>
    <s v="CA"/>
    <n v="97562"/>
    <x v="0"/>
    <s v="NA"/>
    <s v="Nelson"/>
    <s v="Valarie"/>
    <s v="Medium"/>
    <s v=""/>
  </r>
  <r>
    <n v="10257"/>
    <n v="50"/>
    <n v="88.14"/>
    <n v="1"/>
    <n v="4407"/>
    <d v="2004-06-14T00:00:00"/>
    <s v="Shipped"/>
    <n v="2"/>
    <n v="6"/>
    <x v="1"/>
    <x v="3"/>
    <n v="101"/>
    <s v="S18_2949"/>
    <s v="The Sharp Gifts Warehouse"/>
    <n v="4085553659"/>
    <s v="3086 Ingle Ln."/>
    <m/>
    <s v="San Jose"/>
    <s v="CA"/>
    <n v="94217"/>
    <x v="0"/>
    <s v="NA"/>
    <s v="Frick"/>
    <s v="Sue"/>
    <s v="Medium"/>
    <s v=""/>
  </r>
  <r>
    <n v="10423"/>
    <n v="10"/>
    <n v="88.14"/>
    <n v="1"/>
    <n v="881.4"/>
    <d v="2005-05-30T00:00:00"/>
    <s v="In Process"/>
    <n v="2"/>
    <n v="5"/>
    <x v="2"/>
    <x v="3"/>
    <n v="101"/>
    <s v="S18_2949"/>
    <s v="Petit Auto"/>
    <s v="(02) 5554 67"/>
    <s v="Rue Joseph-Bens 532"/>
    <m/>
    <s v="Bruxelles"/>
    <m/>
    <s v="B-1180"/>
    <x v="14"/>
    <s v="EMEA"/>
    <s v="Dewey"/>
    <s v="Catherine"/>
    <s v="Small"/>
    <s v=""/>
  </r>
  <r>
    <n v="10269"/>
    <n v="32"/>
    <n v="63.08"/>
    <n v="1"/>
    <n v="2018.56"/>
    <d v="2004-07-16T00:00:00"/>
    <s v="Shipped"/>
    <n v="3"/>
    <n v="7"/>
    <x v="1"/>
    <x v="3"/>
    <n v="62"/>
    <s v="S18_2957"/>
    <s v="Salzburg Collectables"/>
    <s v="6562-9555"/>
    <s v="Geislweg 14"/>
    <m/>
    <s v="Salzburg"/>
    <m/>
    <n v="5020"/>
    <x v="5"/>
    <s v="EMEA"/>
    <s v="Pipps"/>
    <s v="Georg"/>
    <s v="Small"/>
    <s v=""/>
  </r>
  <r>
    <n v="10392"/>
    <n v="37"/>
    <n v="59.96"/>
    <n v="3"/>
    <n v="2218.52"/>
    <d v="2005-03-10T00:00:00"/>
    <s v="Shipped"/>
    <n v="1"/>
    <n v="3"/>
    <x v="2"/>
    <x v="3"/>
    <n v="62"/>
    <s v="S18_2957"/>
    <s v="Mini Auto Werke"/>
    <s v="7675-3555"/>
    <s v="Kirchgasse 6"/>
    <m/>
    <s v="Graz"/>
    <m/>
    <n v="8010"/>
    <x v="5"/>
    <s v="EMEA"/>
    <s v="Mendel"/>
    <s v="Roland"/>
    <s v="Small"/>
    <s v=""/>
  </r>
  <r>
    <n v="10130"/>
    <n v="40"/>
    <n v="96.34"/>
    <n v="2"/>
    <n v="3853.6"/>
    <d v="2003-06-16T00:00:00"/>
    <s v="Shipped"/>
    <n v="2"/>
    <n v="6"/>
    <x v="0"/>
    <x v="5"/>
    <n v="86"/>
    <s v="S18_3029"/>
    <s v="Auto-Moto Classics Inc."/>
    <n v="6175558428"/>
    <s v="16780 Pompton St."/>
    <m/>
    <s v="Brickhaven"/>
    <s v="MA"/>
    <n v="58339"/>
    <x v="0"/>
    <s v="NA"/>
    <s v="Taylor"/>
    <s v="Leslie"/>
    <s v="Medium"/>
    <s v=""/>
  </r>
  <r>
    <n v="10128"/>
    <n v="41"/>
    <n v="100"/>
    <n v="2"/>
    <n v="5544.02"/>
    <d v="2003-06-06T00:00:00"/>
    <s v="Shipped"/>
    <n v="2"/>
    <n v="6"/>
    <x v="0"/>
    <x v="3"/>
    <n v="136"/>
    <s v="S18_3140"/>
    <s v="Euro Shopping Channel"/>
    <s v="(91) 555 94 44"/>
    <s v="C/ Moralzarzal, 86"/>
    <m/>
    <s v="Madrid"/>
    <m/>
    <n v="28034"/>
    <x v="7"/>
    <s v="EMEA"/>
    <s v="Freyre"/>
    <s v="Diego"/>
    <s v="Medium"/>
    <s v=""/>
  </r>
  <r>
    <n v="10166"/>
    <n v="43"/>
    <n v="100"/>
    <n v="2"/>
    <n v="6930.74"/>
    <d v="2003-10-21T00:00:00"/>
    <s v="Shipped"/>
    <n v="4"/>
    <n v="10"/>
    <x v="0"/>
    <x v="3"/>
    <n v="136"/>
    <s v="S18_3140"/>
    <s v="FunGiftIdeas.com"/>
    <n v="5085552555"/>
    <s v="1785 First Street"/>
    <m/>
    <s v="New Bedford"/>
    <s v="MA"/>
    <n v="50553"/>
    <x v="0"/>
    <s v="NA"/>
    <s v="Benitez"/>
    <s v="Violeta"/>
    <s v="Medium"/>
    <s v=""/>
  </r>
  <r>
    <n v="10177"/>
    <n v="23"/>
    <n v="100"/>
    <n v="9"/>
    <n v="3675.63"/>
    <d v="2003-11-07T00:00:00"/>
    <s v="Shipped"/>
    <n v="4"/>
    <n v="11"/>
    <x v="0"/>
    <x v="3"/>
    <n v="136"/>
    <s v="S18_3140"/>
    <s v="CAF Imports"/>
    <s v="+34 913 728 555"/>
    <s v="Merchants House, 27-30 Merchant's Quay"/>
    <m/>
    <s v="Madrid"/>
    <m/>
    <n v="28023"/>
    <x v="7"/>
    <s v="EMEA"/>
    <s v="Fernandez"/>
    <s v="Jesus"/>
    <s v="Medium"/>
    <s v=""/>
  </r>
  <r>
    <n v="10221"/>
    <n v="33"/>
    <n v="100"/>
    <n v="3"/>
    <n v="4417.38"/>
    <d v="2004-02-18T00:00:00"/>
    <s v="Shipped"/>
    <n v="1"/>
    <n v="2"/>
    <x v="1"/>
    <x v="3"/>
    <n v="136"/>
    <s v="S18_3140"/>
    <s v="Petit Auto"/>
    <s v="(02) 5554 67"/>
    <s v="Rue Joseph-Bens 532"/>
    <m/>
    <s v="Bruxelles"/>
    <m/>
    <s v="B-1180"/>
    <x v="14"/>
    <s v="EMEA"/>
    <s v="Dewey"/>
    <s v="Catherine"/>
    <s v="Medium"/>
    <s v=""/>
  </r>
  <r>
    <n v="10232"/>
    <n v="22"/>
    <n v="100"/>
    <n v="6"/>
    <n v="3606.02"/>
    <d v="2004-03-20T00:00:00"/>
    <s v="Shipped"/>
    <n v="1"/>
    <n v="3"/>
    <x v="1"/>
    <x v="3"/>
    <n v="136"/>
    <s v="S18_3140"/>
    <s v="giftsbymail.co.uk"/>
    <s v="(198) 555-8888"/>
    <s v="Garden House Crowther Way"/>
    <m/>
    <s v="Cowes"/>
    <s v="Isle of Wight"/>
    <s v="PO31 7PJ"/>
    <x v="6"/>
    <s v="EMEA"/>
    <s v="Bennett"/>
    <s v="Helen"/>
    <s v="Medium"/>
    <s v=""/>
  </r>
  <r>
    <n v="10394"/>
    <n v="22"/>
    <n v="100"/>
    <n v="5"/>
    <n v="3353.02"/>
    <d v="2005-03-15T00:00:00"/>
    <s v="Shipped"/>
    <n v="1"/>
    <n v="3"/>
    <x v="2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s v="Medium"/>
    <s v=""/>
  </r>
  <r>
    <n v="10326"/>
    <n v="32"/>
    <n v="100"/>
    <n v="6"/>
    <n v="3807.68"/>
    <d v="2004-11-09T00:00:00"/>
    <s v="Shipped"/>
    <n v="4"/>
    <n v="11"/>
    <x v="1"/>
    <x v="6"/>
    <n v="100"/>
    <s v="S18_3259"/>
    <s v="Volvo Model Replicas, Co"/>
    <s v="0921-12 3555"/>
    <s v="Berguvsv„gen  8"/>
    <m/>
    <s v="Lule"/>
    <m/>
    <s v="S-958 22"/>
    <x v="8"/>
    <s v="EMEA"/>
    <s v="Berglund"/>
    <s v="Christina"/>
    <s v="Medium"/>
    <s v=""/>
  </r>
  <r>
    <n v="10252"/>
    <n v="20"/>
    <n v="76.39"/>
    <n v="2"/>
    <n v="1527.8"/>
    <d v="2004-05-26T00:00:00"/>
    <s v="Shipped"/>
    <n v="2"/>
    <n v="5"/>
    <x v="1"/>
    <x v="1"/>
    <n v="80"/>
    <s v="S18_3278"/>
    <s v="Auto Canal Petit"/>
    <s v="(1) 47.55.6555"/>
    <s v="25, rue Lauriston"/>
    <m/>
    <s v="Paris"/>
    <m/>
    <n v="75016"/>
    <x v="1"/>
    <s v="EMEA"/>
    <s v="Perrier"/>
    <s v="Dominique"/>
    <s v="Small"/>
    <s v=""/>
  </r>
  <r>
    <n v="10265"/>
    <n v="45"/>
    <n v="86.84"/>
    <n v="2"/>
    <n v="3907.8"/>
    <d v="2004-07-02T00:00:00"/>
    <s v="Shipped"/>
    <n v="3"/>
    <n v="7"/>
    <x v="1"/>
    <x v="1"/>
    <n v="80"/>
    <s v="S18_3278"/>
    <s v="Australian Collectables, Ltd"/>
    <s v="61-9-3844-6555"/>
    <s v="7 Allen Street"/>
    <m/>
    <s v="Glen Waverly"/>
    <s v="Victoria"/>
    <n v="3150"/>
    <x v="3"/>
    <s v="APAC"/>
    <s v="Connery"/>
    <s v="Sean"/>
    <s v="Medium"/>
    <s v=""/>
  </r>
  <r>
    <n v="10290"/>
    <n v="26"/>
    <n v="96.23"/>
    <n v="2"/>
    <n v="2501.98"/>
    <d v="2004-09-07T00:00:00"/>
    <s v="Shipped"/>
    <n v="3"/>
    <n v="9"/>
    <x v="1"/>
    <x v="3"/>
    <n v="99"/>
    <s v="S18_3320"/>
    <s v="Auto-Moto Classics Inc."/>
    <n v="6175558428"/>
    <s v="16780 Pompton St."/>
    <m/>
    <s v="Brickhaven"/>
    <s v="MA"/>
    <n v="58339"/>
    <x v="0"/>
    <s v="NA"/>
    <s v="Taylor"/>
    <s v="Leslie"/>
    <s v="Small"/>
    <s v=""/>
  </r>
  <r>
    <n v="10323"/>
    <n v="33"/>
    <n v="91.27"/>
    <n v="2"/>
    <n v="3011.91"/>
    <d v="2004-11-05T00:00:00"/>
    <s v="Shipped"/>
    <n v="4"/>
    <n v="11"/>
    <x v="1"/>
    <x v="3"/>
    <n v="99"/>
    <s v="S18_3320"/>
    <s v="Blauer See Auto, Co."/>
    <s v="+49 69 66 90 2555"/>
    <s v="Lyonerstr. 34"/>
    <m/>
    <s v="Frankfurt"/>
    <m/>
    <n v="60528"/>
    <x v="16"/>
    <s v="EMEA"/>
    <s v="Keitel"/>
    <s v="Roland"/>
    <s v="Medium"/>
    <s v=""/>
  </r>
  <r>
    <n v="10330"/>
    <n v="37"/>
    <n v="100"/>
    <n v="3"/>
    <n v="4405.22"/>
    <d v="2004-11-16T00:00:00"/>
    <s v="Shipped"/>
    <n v="4"/>
    <n v="11"/>
    <x v="1"/>
    <x v="1"/>
    <n v="146"/>
    <s v="S18_3482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  <s v=""/>
  </r>
  <r>
    <n v="10355"/>
    <n v="23"/>
    <n v="100"/>
    <n v="7"/>
    <n v="3177.91"/>
    <d v="2004-12-07T00:00:00"/>
    <s v="Shipped"/>
    <n v="4"/>
    <n v="12"/>
    <x v="1"/>
    <x v="1"/>
    <n v="146"/>
    <s v="S18_3482"/>
    <s v="Euro Shopping Channel"/>
    <s v="(91) 555 94 44"/>
    <s v="C/ Moralzarzal, 86"/>
    <m/>
    <s v="Madrid"/>
    <m/>
    <n v="28034"/>
    <x v="7"/>
    <s v="EMEA"/>
    <s v="Freyre"/>
    <s v="Diego"/>
    <s v="Medium"/>
    <s v=""/>
  </r>
  <r>
    <n v="10146"/>
    <n v="47"/>
    <n v="67.14"/>
    <n v="2"/>
    <n v="3155.58"/>
    <d v="2003-09-03T00:00:00"/>
    <s v="Shipped"/>
    <n v="3"/>
    <n v="9"/>
    <x v="0"/>
    <x v="0"/>
    <n v="62"/>
    <s v="S18_3782"/>
    <s v="Gift Ideas Corp."/>
    <n v="2035554407"/>
    <s v="2440 Pompton St."/>
    <m/>
    <s v="Glendale"/>
    <s v="CT"/>
    <n v="97561"/>
    <x v="0"/>
    <s v="NA"/>
    <s v="Lewis"/>
    <s v="Dan"/>
    <s v="Medium"/>
    <s v=""/>
  </r>
  <r>
    <n v="10264"/>
    <n v="48"/>
    <n v="54.71"/>
    <n v="3"/>
    <n v="2626.08"/>
    <d v="2004-06-30T00:00:00"/>
    <s v="Shipped"/>
    <n v="2"/>
    <n v="6"/>
    <x v="1"/>
    <x v="0"/>
    <n v="62"/>
    <s v="S18_3782"/>
    <s v="Gifts4AllAges.com"/>
    <n v="6175559555"/>
    <s v="8616 Spinnaker Dr."/>
    <m/>
    <s v="Boston"/>
    <s v="MA"/>
    <n v="51003"/>
    <x v="0"/>
    <s v="NA"/>
    <s v="Yoshido"/>
    <s v="Juri"/>
    <s v="Small"/>
    <s v=""/>
  </r>
  <r>
    <n v="10286"/>
    <n v="38"/>
    <n v="57.2"/>
    <n v="1"/>
    <n v="2173.6"/>
    <d v="2004-08-28T00:00:00"/>
    <s v="Shipped"/>
    <n v="3"/>
    <n v="8"/>
    <x v="1"/>
    <x v="0"/>
    <n v="62"/>
    <s v="S18_3782"/>
    <s v="La Corne D'abondance, Co."/>
    <s v="(1) 42.34.2555"/>
    <s v="265, boulevard Charonne"/>
    <m/>
    <s v="Paris"/>
    <m/>
    <n v="75012"/>
    <x v="1"/>
    <s v="EMEA"/>
    <s v="Bertrand"/>
    <s v="Marie"/>
    <s v="Small"/>
    <s v=""/>
  </r>
  <r>
    <n v="10249"/>
    <n v="46"/>
    <n v="100"/>
    <n v="5"/>
    <n v="5600.5"/>
    <d v="2004-05-08T00:00:00"/>
    <s v="Shipped"/>
    <n v="2"/>
    <n v="5"/>
    <x v="1"/>
    <x v="3"/>
    <n v="105"/>
    <s v="S18_3856"/>
    <s v="Cambridge Collectables Co."/>
    <n v="6175555555"/>
    <s v="4658 Baden Av."/>
    <m/>
    <s v="Cambridge"/>
    <s v="MA"/>
    <n v="51247"/>
    <x v="0"/>
    <s v="NA"/>
    <s v="Tseng"/>
    <s v="Kyung"/>
    <s v="Medium"/>
    <s v=""/>
  </r>
  <r>
    <n v="10328"/>
    <n v="34"/>
    <n v="100"/>
    <n v="6"/>
    <n v="3815.48"/>
    <d v="2004-11-12T00:00:00"/>
    <s v="Shipped"/>
    <n v="4"/>
    <n v="11"/>
    <x v="1"/>
    <x v="3"/>
    <n v="105"/>
    <s v="S18_3856"/>
    <s v="Rovelli Gifts"/>
    <s v="035-640555"/>
    <s v="Via Ludovico il Moro 22"/>
    <m/>
    <s v="Bergamo"/>
    <m/>
    <n v="24100"/>
    <x v="12"/>
    <s v="EMEA"/>
    <s v="Rovelli"/>
    <s v="Giovanni"/>
    <s v="Medium"/>
    <s v=""/>
  </r>
  <r>
    <n v="10415"/>
    <n v="51"/>
    <n v="100"/>
    <n v="5"/>
    <n v="6209.25"/>
    <d v="2005-05-09T00:00:00"/>
    <s v="Disputed"/>
    <n v="2"/>
    <n v="5"/>
    <x v="2"/>
    <x v="3"/>
    <n v="105"/>
    <s v="S18_3856"/>
    <s v="Australian Collectables, Ltd"/>
    <s v="61-9-3844-6555"/>
    <s v="7 Allen Street"/>
    <m/>
    <s v="Glen Waverly"/>
    <s v="Victoria"/>
    <n v="3150"/>
    <x v="3"/>
    <s v="APAC"/>
    <s v="Connery"/>
    <s v="Sean"/>
    <s v="Medium"/>
    <s v=""/>
  </r>
  <r>
    <n v="10152"/>
    <n v="35"/>
    <n v="100"/>
    <n v="1"/>
    <n v="4524.1000000000004"/>
    <d v="2003-09-25T00:00:00"/>
    <s v="Shipped"/>
    <n v="3"/>
    <n v="9"/>
    <x v="0"/>
    <x v="1"/>
    <n v="143"/>
    <s v="S18_4027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  <s v=""/>
  </r>
  <r>
    <n v="10213"/>
    <n v="38"/>
    <n v="94.79"/>
    <n v="1"/>
    <n v="3602.02"/>
    <d v="2004-01-22T00:00:00"/>
    <s v="Shipped"/>
    <n v="1"/>
    <n v="1"/>
    <x v="1"/>
    <x v="3"/>
    <n v="92"/>
    <s v="S18_4409"/>
    <s v="Double Decker Gift Stores, Ltd"/>
    <s v="(171) 555-7555"/>
    <s v="120 Hanover Sq."/>
    <m/>
    <s v="London"/>
    <m/>
    <s v="WA1 1DP"/>
    <x v="6"/>
    <s v="EMEA"/>
    <s v="Hardy"/>
    <s v="Thomas"/>
    <s v="Medium"/>
    <s v=""/>
  </r>
  <r>
    <n v="10315"/>
    <n v="36"/>
    <n v="100"/>
    <n v="7"/>
    <n v="3602.16"/>
    <d v="2004-10-29T00:00:00"/>
    <s v="Shipped"/>
    <n v="4"/>
    <n v="10"/>
    <x v="1"/>
    <x v="3"/>
    <n v="87"/>
    <s v="S18_4522"/>
    <s v="La Rochelle Gifts"/>
    <s v="40.67.8555"/>
    <s v="67, rue des Cinquante Otages"/>
    <m/>
    <s v="Nantes"/>
    <m/>
    <n v="44000"/>
    <x v="1"/>
    <s v="EMEA"/>
    <s v="Labrune"/>
    <s v="Janine"/>
    <s v="Medium"/>
    <s v=""/>
  </r>
  <r>
    <n v="10267"/>
    <n v="36"/>
    <n v="75.55"/>
    <n v="1"/>
    <n v="2719.8"/>
    <d v="2004-07-07T00:00:00"/>
    <s v="Shipped"/>
    <n v="3"/>
    <n v="7"/>
    <x v="1"/>
    <x v="1"/>
    <n v="71"/>
    <s v="S18_4933"/>
    <s v="Muscle Machine Inc"/>
    <n v="2125557413"/>
    <s v="4092 Furth Circle"/>
    <s v="Suite 400"/>
    <s v="NYC"/>
    <s v="NY"/>
    <n v="10022"/>
    <x v="0"/>
    <s v="NA"/>
    <s v="Young"/>
    <s v="Jeff"/>
    <s v="Small"/>
    <s v=""/>
  </r>
  <r>
    <n v="10279"/>
    <n v="26"/>
    <n v="60.58"/>
    <n v="1"/>
    <n v="1575.08"/>
    <d v="2004-08-09T00:00:00"/>
    <s v="Shipped"/>
    <n v="3"/>
    <n v="8"/>
    <x v="1"/>
    <x v="1"/>
    <n v="71"/>
    <s v="S18_4933"/>
    <s v="Euro Shopping Channel"/>
    <s v="(91) 555 94 44"/>
    <s v="C/ Moralzarzal, 86"/>
    <m/>
    <s v="Madrid"/>
    <m/>
    <n v="28034"/>
    <x v="7"/>
    <s v="EMEA"/>
    <s v="Freyre"/>
    <s v="Diego"/>
    <s v="Small"/>
    <s v=""/>
  </r>
  <r>
    <n v="10158"/>
    <n v="22"/>
    <n v="67.03"/>
    <n v="1"/>
    <n v="1474.66"/>
    <d v="2003-10-10T00:00:00"/>
    <s v="Shipped"/>
    <n v="4"/>
    <n v="10"/>
    <x v="0"/>
    <x v="0"/>
    <n v="76"/>
    <s v="S24_2000"/>
    <s v="Baane Mini Imports"/>
    <s v="07-98 9555"/>
    <s v="Erling Skakkes gate 78"/>
    <m/>
    <s v="Stavern"/>
    <m/>
    <n v="4110"/>
    <x v="2"/>
    <s v="EMEA"/>
    <s v="Bergulfsen"/>
    <s v="Jonas"/>
    <s v="Small"/>
    <s v=""/>
  </r>
  <r>
    <n v="10340"/>
    <n v="55"/>
    <n v="79.98"/>
    <n v="8"/>
    <n v="4398.8999999999996"/>
    <d v="2004-11-24T00:00:00"/>
    <s v="Shipped"/>
    <n v="4"/>
    <n v="11"/>
    <x v="1"/>
    <x v="0"/>
    <n v="76"/>
    <s v="S24_2000"/>
    <s v="Enaco Distributors"/>
    <s v="(93) 203 4555"/>
    <s v="Rambla de Catalu¤a, 23"/>
    <m/>
    <s v="Barcelona"/>
    <m/>
    <n v="8022"/>
    <x v="7"/>
    <s v="EMEA"/>
    <s v="Saavedra"/>
    <s v="Eduardo"/>
    <s v="Medium"/>
    <s v=""/>
  </r>
  <r>
    <n v="10345"/>
    <n v="43"/>
    <n v="53.76"/>
    <n v="1"/>
    <n v="2311.6799999999998"/>
    <d v="2004-11-25T00:00:00"/>
    <s v="Shipped"/>
    <n v="4"/>
    <n v="11"/>
    <x v="1"/>
    <x v="3"/>
    <n v="44"/>
    <s v="S24_2022"/>
    <s v="Atelier graphique"/>
    <s v="40.32.2555"/>
    <s v="54, rue Royale"/>
    <m/>
    <s v="Nantes"/>
    <m/>
    <n v="44000"/>
    <x v="1"/>
    <s v="EMEA"/>
    <s v="Schmitt"/>
    <s v="Carine"/>
    <s v="Small"/>
    <s v=""/>
  </r>
  <r>
    <n v="10190"/>
    <n v="42"/>
    <n v="76.19"/>
    <n v="3"/>
    <n v="3199.98"/>
    <d v="2003-11-19T00:00:00"/>
    <s v="Shipped"/>
    <n v="4"/>
    <n v="11"/>
    <x v="0"/>
    <x v="0"/>
    <n v="69"/>
    <s v="S24_2360"/>
    <s v="Euro Shopping Channel"/>
    <s v="(91) 555 94 44"/>
    <s v="C/ Moralzarzal, 86"/>
    <m/>
    <s v="Madrid"/>
    <m/>
    <n v="28034"/>
    <x v="7"/>
    <s v="EMEA"/>
    <s v="Freyre"/>
    <s v="Diego"/>
    <s v="Medium"/>
    <s v=""/>
  </r>
  <r>
    <n v="10368"/>
    <n v="40"/>
    <n v="100"/>
    <n v="2"/>
    <n v="4107.2"/>
    <d v="2005-01-19T00:00:00"/>
    <s v="Shipped"/>
    <n v="1"/>
    <n v="1"/>
    <x v="2"/>
    <x v="1"/>
    <n v="90"/>
    <s v="S24_2766"/>
    <s v="Mini Gifts Distributors Ltd."/>
    <n v="4155551450"/>
    <s v="5677 Strong St."/>
    <m/>
    <s v="San Rafael"/>
    <s v="CA"/>
    <n v="97562"/>
    <x v="0"/>
    <s v="NA"/>
    <s v="Nelson"/>
    <s v="Valarie"/>
    <s v="Medium"/>
    <s v=""/>
  </r>
  <r>
    <n v="10335"/>
    <n v="33"/>
    <n v="37.130000000000003"/>
    <n v="2"/>
    <n v="1225.29"/>
    <d v="2004-11-19T00:00:00"/>
    <s v="Shipped"/>
    <n v="4"/>
    <n v="11"/>
    <x v="1"/>
    <x v="1"/>
    <n v="35"/>
    <s v="S24_2840"/>
    <s v="Mini Gifts Distributors Ltd."/>
    <n v="4155551450"/>
    <s v="5677 Strong St."/>
    <m/>
    <s v="San Rafael"/>
    <s v="CA"/>
    <n v="97562"/>
    <x v="0"/>
    <s v="NA"/>
    <s v="Nelson"/>
    <s v="Valarie"/>
    <s v="Small"/>
    <s v=""/>
  </r>
  <r>
    <n v="10154"/>
    <n v="31"/>
    <n v="91.17"/>
    <n v="2"/>
    <n v="2826.27"/>
    <d v="2003-10-02T00:00:00"/>
    <s v="Shipped"/>
    <n v="4"/>
    <n v="10"/>
    <x v="0"/>
    <x v="3"/>
    <n v="88"/>
    <s v="S24_3151"/>
    <s v="Boards &amp; Toys Co."/>
    <n v="3105552373"/>
    <s v="4097 Douglas Av."/>
    <m/>
    <s v="Glendale"/>
    <s v="CA"/>
    <n v="92561"/>
    <x v="0"/>
    <s v="NA"/>
    <s v="Young"/>
    <s v="Leslie"/>
    <s v="Small"/>
    <s v=""/>
  </r>
  <r>
    <n v="10233"/>
    <n v="40"/>
    <n v="94.71"/>
    <n v="2"/>
    <n v="3788.4"/>
    <d v="2004-03-29T00:00:00"/>
    <s v="Shipped"/>
    <n v="1"/>
    <n v="3"/>
    <x v="1"/>
    <x v="3"/>
    <n v="88"/>
    <s v="S24_3151"/>
    <s v="Tekni Collectables Inc."/>
    <n v="2015559350"/>
    <s v="7476 Moss Rd."/>
    <m/>
    <s v="Newark"/>
    <s v="NJ"/>
    <n v="94019"/>
    <x v="0"/>
    <s v="NA"/>
    <s v="Brown"/>
    <s v="William"/>
    <s v="Medium"/>
    <s v=""/>
  </r>
  <r>
    <n v="10385"/>
    <n v="37"/>
    <n v="85.54"/>
    <n v="2"/>
    <n v="3164.98"/>
    <d v="2005-02-28T00:00:00"/>
    <s v="Shipped"/>
    <n v="1"/>
    <n v="2"/>
    <x v="2"/>
    <x v="3"/>
    <n v="83"/>
    <s v="S24_3816"/>
    <s v="Mini Gifts Distributors Ltd."/>
    <n v="4155551450"/>
    <s v="5677 Strong St."/>
    <m/>
    <s v="San Rafael"/>
    <s v="CA"/>
    <n v="97562"/>
    <x v="0"/>
    <s v="NA"/>
    <s v="Nelson"/>
    <s v="Valarie"/>
    <s v="Medium"/>
    <s v=""/>
  </r>
  <r>
    <n v="10242"/>
    <n v="46"/>
    <n v="36.93"/>
    <n v="1"/>
    <n v="1698.78"/>
    <d v="2004-04-20T00:00:00"/>
    <s v="Shipped"/>
    <n v="2"/>
    <n v="4"/>
    <x v="1"/>
    <x v="3"/>
    <n v="41"/>
    <s v="S24_3969"/>
    <s v="Microscale Inc."/>
    <n v="2125551957"/>
    <s v="5290 North Pendale Street"/>
    <s v="Suite 200"/>
    <s v="NYC"/>
    <s v="NY"/>
    <n v="10022"/>
    <x v="0"/>
    <s v="NA"/>
    <s v="Kuo"/>
    <s v="Kee"/>
    <s v="Small"/>
    <s v=""/>
  </r>
  <r>
    <n v="10408"/>
    <n v="15"/>
    <n v="36.93"/>
    <n v="1"/>
    <n v="553.95000000000005"/>
    <d v="2005-04-22T00:00:00"/>
    <s v="Shipped"/>
    <n v="2"/>
    <n v="4"/>
    <x v="2"/>
    <x v="3"/>
    <n v="41"/>
    <s v="S24_3969"/>
    <s v="Tokyo Collectables, Ltd"/>
    <s v="+81 3 3584 0555"/>
    <s v="2-2-8 Roppongi"/>
    <m/>
    <s v="Minato-ku"/>
    <s v="Tokyo"/>
    <s v="106-0032"/>
    <x v="11"/>
    <s v="Japan"/>
    <s v="Shimamura"/>
    <s v="Akiko"/>
    <s v="Small"/>
    <s v=""/>
  </r>
  <r>
    <n v="10317"/>
    <n v="35"/>
    <n v="83.32"/>
    <n v="1"/>
    <n v="2916.2"/>
    <d v="2004-11-02T00:00:00"/>
    <s v="Shipped"/>
    <n v="4"/>
    <n v="11"/>
    <x v="1"/>
    <x v="4"/>
    <n v="72"/>
    <s v="S24_4278"/>
    <s v="Technics Stores Inc."/>
    <n v="6505556809"/>
    <s v="9408 Furth Circle"/>
    <m/>
    <s v="Burlingame"/>
    <s v="CA"/>
    <n v="94217"/>
    <x v="0"/>
    <s v="NA"/>
    <s v="Hirano"/>
    <s v="Juri"/>
    <s v="Small"/>
    <s v=""/>
  </r>
  <r>
    <n v="10387"/>
    <n v="44"/>
    <n v="94.9"/>
    <n v="1"/>
    <n v="4175.6000000000004"/>
    <d v="2005-03-02T00:00:00"/>
    <s v="Shipped"/>
    <n v="1"/>
    <n v="3"/>
    <x v="2"/>
    <x v="0"/>
    <n v="99"/>
    <s v="S32_1374"/>
    <s v="Dragon Souveniers, Ltd."/>
    <s v="+65 221 7555"/>
    <s v="Bronz Sok., Bronz Apt. 3/6 Tesvikiye"/>
    <m/>
    <s v="Singapore"/>
    <m/>
    <n v="79903"/>
    <x v="9"/>
    <s v="Japan"/>
    <s v="Natividad"/>
    <s v="Eric"/>
    <s v="Medium"/>
    <s v=""/>
  </r>
  <r>
    <n v="10364"/>
    <n v="48"/>
    <n v="48.28"/>
    <n v="1"/>
    <n v="2317.44"/>
    <d v="2005-01-06T00:00:00"/>
    <s v="Shipped"/>
    <n v="1"/>
    <n v="1"/>
    <x v="2"/>
    <x v="0"/>
    <n v="40"/>
    <s v="S32_2206"/>
    <s v="Marseille Mini Autos"/>
    <s v="91.24.4555"/>
    <s v="12, rue des Bouchers"/>
    <m/>
    <s v="Marseille"/>
    <m/>
    <n v="13008"/>
    <x v="1"/>
    <s v="EMEA"/>
    <s v="Lebihan"/>
    <s v="Laurence"/>
    <s v="Small"/>
    <s v=""/>
  </r>
  <r>
    <n v="10116"/>
    <n v="27"/>
    <n v="63.38"/>
    <n v="1"/>
    <n v="1711.26"/>
    <d v="2003-04-11T00:00:00"/>
    <s v="Shipped"/>
    <n v="2"/>
    <n v="4"/>
    <x v="0"/>
    <x v="6"/>
    <n v="62"/>
    <s v="S32_3207"/>
    <s v="Royale Belge"/>
    <s v="(071) 23 67 2555"/>
    <s v="Boulevard Tirou, 255"/>
    <m/>
    <s v="Charleroi"/>
    <m/>
    <s v="B-6000"/>
    <x v="14"/>
    <s v="EMEA"/>
    <s v="Cartrain"/>
    <s v="Pascale"/>
    <s v="Small"/>
    <s v=""/>
  </r>
  <r>
    <n v="10144"/>
    <n v="20"/>
    <n v="81.86"/>
    <n v="1"/>
    <n v="1637.2"/>
    <d v="2003-08-13T00:00:00"/>
    <s v="Shipped"/>
    <n v="3"/>
    <n v="8"/>
    <x v="0"/>
    <x v="3"/>
    <n v="68"/>
    <s v="S32_4289"/>
    <s v="Royale Belge"/>
    <s v="(071) 23 67 2555"/>
    <s v="Boulevard Tirou, 255"/>
    <m/>
    <s v="Charleroi"/>
    <m/>
    <s v="B-6000"/>
    <x v="14"/>
    <s v="EMEA"/>
    <s v="Cartrain"/>
    <s v="Pascale"/>
    <s v="Small"/>
    <s v=""/>
  </r>
  <r>
    <n v="10156"/>
    <n v="20"/>
    <n v="41.02"/>
    <n v="1"/>
    <n v="820.4"/>
    <d v="2003-10-08T00:00:00"/>
    <s v="Shipped"/>
    <n v="4"/>
    <n v="10"/>
    <x v="0"/>
    <x v="3"/>
    <n v="43"/>
    <s v="S50_1341"/>
    <s v="Euro Shopping Channel"/>
    <s v="(91) 555 94 44"/>
    <s v="C/ Moralzarzal, 86"/>
    <m/>
    <s v="Madrid"/>
    <m/>
    <n v="28034"/>
    <x v="7"/>
    <s v="EMEA"/>
    <s v="Freyre"/>
    <s v="Diego"/>
    <s v="Small"/>
    <s v=""/>
  </r>
  <r>
    <n v="10199"/>
    <n v="29"/>
    <n v="38.4"/>
    <n v="1"/>
    <n v="1113.5999999999999"/>
    <d v="2003-12-01T00:00:00"/>
    <s v="Shipped"/>
    <n v="4"/>
    <n v="12"/>
    <x v="0"/>
    <x v="3"/>
    <n v="43"/>
    <s v="S50_1341"/>
    <s v="West Coast Collectables Co."/>
    <n v="3105553722"/>
    <s v="3675 Furth Circle"/>
    <m/>
    <s v="Burbank"/>
    <s v="CA"/>
    <n v="94019"/>
    <x v="0"/>
    <s v="NA"/>
    <s v="Thompson"/>
    <s v="Steve"/>
    <s v="Small"/>
    <s v=""/>
  </r>
  <r>
    <n v="10397"/>
    <n v="32"/>
    <n v="80.55"/>
    <n v="5"/>
    <n v="2577.6"/>
    <d v="2005-03-28T00:00:00"/>
    <s v="Shipped"/>
    <n v="1"/>
    <n v="3"/>
    <x v="2"/>
    <x v="5"/>
    <n v="86"/>
    <s v="S700_1938"/>
    <s v="Alpha Cognac"/>
    <s v="61.77.6555"/>
    <s v="1 rue Alsace-Lorraine"/>
    <m/>
    <s v="Toulouse"/>
    <m/>
    <n v="31000"/>
    <x v="1"/>
    <s v="EMEA"/>
    <s v="Roulet"/>
    <s v="Annette"/>
    <s v="Small"/>
    <s v=""/>
  </r>
  <r>
    <n v="10352"/>
    <n v="23"/>
    <n v="100"/>
    <n v="3"/>
    <n v="2352.67"/>
    <d v="2004-12-03T00:00:00"/>
    <s v="Shipped"/>
    <n v="4"/>
    <n v="12"/>
    <x v="1"/>
    <x v="5"/>
    <n v="90"/>
    <s v="S700_2047"/>
    <s v="Auto-Moto Classics Inc."/>
    <n v="6175558428"/>
    <s v="16780 Pompton St."/>
    <m/>
    <s v="Brickhaven"/>
    <s v="MA"/>
    <n v="58339"/>
    <x v="0"/>
    <s v="NA"/>
    <s v="Taylor"/>
    <s v="Leslie"/>
    <s v="Small"/>
    <s v=""/>
  </r>
  <r>
    <n v="10118"/>
    <n v="36"/>
    <n v="100"/>
    <n v="1"/>
    <n v="4219.2"/>
    <d v="2003-04-21T00:00:00"/>
    <s v="Shipped"/>
    <n v="2"/>
    <n v="4"/>
    <x v="0"/>
    <x v="5"/>
    <n v="100"/>
    <s v="S700_3505"/>
    <s v="Enaco Distributors"/>
    <s v="(93) 203 4555"/>
    <s v="Rambla de Catalu¤a, 23"/>
    <m/>
    <s v="Barcelona"/>
    <m/>
    <n v="8022"/>
    <x v="7"/>
    <s v="EMEA"/>
    <s v="Saavedra"/>
    <s v="Eduardo"/>
    <s v="Medium"/>
    <s v=""/>
  </r>
  <r>
    <n v="10294"/>
    <n v="45"/>
    <n v="100"/>
    <n v="1"/>
    <n v="4692.6000000000004"/>
    <d v="2004-09-10T00:00:00"/>
    <s v="Shipped"/>
    <n v="3"/>
    <n v="9"/>
    <x v="1"/>
    <x v="5"/>
    <n v="99"/>
    <s v="S700_3962"/>
    <s v="Online Mini Collectables"/>
    <n v="6175557555"/>
    <s v="7635 Spinnaker Dr."/>
    <m/>
    <s v="Brickhaven"/>
    <s v="MA"/>
    <n v="58339"/>
    <x v="0"/>
    <s v="NA"/>
    <s v="Barajas"/>
    <s v="Miguel"/>
    <s v="Medium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n v="10107"/>
    <n v="30"/>
    <n v="95.7"/>
    <n v="2"/>
    <n v="2871"/>
    <d v="2003-02-24T00:00:00"/>
    <s v="Shipped"/>
    <n v="1"/>
    <n v="2"/>
    <n v="2003"/>
    <s v="Motorcycles"/>
    <n v="95"/>
    <s v="S10_1678"/>
    <s v="Land of Toys Inc."/>
    <n v="2125557818"/>
    <s v="897 Long Airport Avenue"/>
    <m/>
    <s v="NYC"/>
    <s v="NY"/>
    <n v="10022"/>
    <s v="USA"/>
    <s v="NA"/>
    <s v="Yu"/>
    <s v="Kwai"/>
    <s v="Small"/>
    <s v=""/>
    <x v="0"/>
  </r>
  <r>
    <n v="10121"/>
    <n v="34"/>
    <n v="81.349999999999994"/>
    <n v="5"/>
    <n v="2765.9"/>
    <d v="2003-05-07T00:00:00"/>
    <s v="Shipped"/>
    <n v="2"/>
    <n v="5"/>
    <n v="2003"/>
    <s v="Motorcycles"/>
    <n v="95"/>
    <s v="S10_1678"/>
    <s v="Reims Collectables"/>
    <s v="26.47.1555"/>
    <s v="59 rue de l'Abbaye"/>
    <m/>
    <s v="Reims"/>
    <m/>
    <n v="51100"/>
    <s v="France"/>
    <s v="EMEA"/>
    <s v="Henriot"/>
    <s v="Paul"/>
    <s v="Small"/>
    <s v=""/>
    <x v="1"/>
  </r>
  <r>
    <n v="10134"/>
    <n v="41"/>
    <n v="94.74"/>
    <n v="2"/>
    <n v="3884.34"/>
    <d v="2003-07-01T00:00:00"/>
    <s v="Shipped"/>
    <n v="3"/>
    <n v="7"/>
    <n v="2003"/>
    <s v="Motorcycles"/>
    <n v="95"/>
    <s v="S10_1678"/>
    <s v="Lyon Souveniers"/>
    <s v="+33 1 46 62 7555"/>
    <s v="27 rue du Colonel Pierre Avia"/>
    <m/>
    <s v="Paris"/>
    <m/>
    <n v="75508"/>
    <s v="France"/>
    <s v="EMEA"/>
    <s v="Da Cunha"/>
    <s v="Daniel"/>
    <s v="Medium"/>
    <s v=""/>
    <x v="2"/>
  </r>
  <r>
    <n v="10145"/>
    <n v="45"/>
    <n v="83.26"/>
    <n v="6"/>
    <n v="3746.7"/>
    <d v="2003-08-25T00:00:00"/>
    <s v="Shipped"/>
    <n v="3"/>
    <n v="8"/>
    <n v="2003"/>
    <s v="Motorcycles"/>
    <n v="95"/>
    <s v="S10_1678"/>
    <s v="Toys4GrownUps.com"/>
    <n v="6265557265"/>
    <s v="78934 Hillside Dr."/>
    <m/>
    <s v="Pasadena"/>
    <s v="CA"/>
    <n v="90003"/>
    <s v="USA"/>
    <s v="NA"/>
    <s v="Young"/>
    <s v="Julie"/>
    <s v="Medium"/>
    <s v=""/>
    <x v="3"/>
  </r>
  <r>
    <n v="10159"/>
    <n v="49"/>
    <n v="100"/>
    <n v="14"/>
    <n v="5205.2700000000004"/>
    <d v="2003-10-10T00:00:00"/>
    <s v="Shipped"/>
    <n v="4"/>
    <n v="10"/>
    <n v="2003"/>
    <s v="Motorcycles"/>
    <n v="95"/>
    <s v="S10_1678"/>
    <s v="Corporate Gift Ideas Co."/>
    <n v="6505551386"/>
    <s v="7734 Strong St."/>
    <m/>
    <s v="San Francisco"/>
    <s v="CA"/>
    <m/>
    <s v="USA"/>
    <s v="NA"/>
    <s v="Brown"/>
    <s v="Julie"/>
    <s v="Medium"/>
    <s v=""/>
    <x v="4"/>
  </r>
  <r>
    <n v="10168"/>
    <n v="36"/>
    <n v="96.66"/>
    <n v="1"/>
    <n v="3479.76"/>
    <d v="2003-10-28T00:00:00"/>
    <s v="Shipped"/>
    <n v="4"/>
    <n v="10"/>
    <n v="2003"/>
    <s v="Motorcycles"/>
    <n v="95"/>
    <s v="S10_1678"/>
    <s v="Technics Stores Inc."/>
    <n v="6505556809"/>
    <s v="9408 Furth Circle"/>
    <m/>
    <s v="Burlingame"/>
    <s v="CA"/>
    <n v="94217"/>
    <s v="USA"/>
    <s v="NA"/>
    <s v="Hirano"/>
    <s v="Juri"/>
    <s v="Medium"/>
    <s v=""/>
    <x v="4"/>
  </r>
  <r>
    <n v="10180"/>
    <n v="29"/>
    <n v="86.13"/>
    <n v="9"/>
    <n v="2497.77"/>
    <d v="2003-11-11T00:00:00"/>
    <s v="Shipped"/>
    <n v="4"/>
    <n v="11"/>
    <n v="2003"/>
    <s v="Motorcycles"/>
    <n v="95"/>
    <s v="S10_1678"/>
    <s v="Daedalus Designs Imports"/>
    <s v="20.16.1555"/>
    <s v="184, chausse de Tournai"/>
    <m/>
    <s v="Lille"/>
    <m/>
    <n v="59000"/>
    <s v="France"/>
    <s v="EMEA"/>
    <s v="Rance"/>
    <s v="Martine"/>
    <s v="Small"/>
    <s v=""/>
    <x v="5"/>
  </r>
  <r>
    <n v="10188"/>
    <n v="48"/>
    <n v="100"/>
    <n v="1"/>
    <n v="5512.32"/>
    <d v="2003-11-18T00:00:00"/>
    <s v="Shipped"/>
    <n v="4"/>
    <n v="11"/>
    <n v="2003"/>
    <s v="Motorcycles"/>
    <n v="95"/>
    <s v="S10_1678"/>
    <s v="Herkku Gifts"/>
    <s v="+47 2267 3215"/>
    <s v="Drammen 121, PR 744 Sentrum"/>
    <m/>
    <s v="Bergen"/>
    <m/>
    <s v="N 5804"/>
    <s v="Norway"/>
    <s v="EMEA"/>
    <s v="Oeztan"/>
    <s v="Veysel"/>
    <s v="Medium"/>
    <s v=""/>
    <x v="5"/>
  </r>
  <r>
    <n v="10201"/>
    <n v="22"/>
    <n v="98.57"/>
    <n v="2"/>
    <n v="2168.54"/>
    <d v="2003-12-01T00:00:00"/>
    <s v="Shipped"/>
    <n v="4"/>
    <n v="12"/>
    <n v="2003"/>
    <s v="Motorcycles"/>
    <n v="95"/>
    <s v="S10_1678"/>
    <s v="Mini Wheels Co."/>
    <n v="6505555787"/>
    <s v="5557 North Pendale Street"/>
    <m/>
    <s v="San Francisco"/>
    <s v="CA"/>
    <m/>
    <s v="USA"/>
    <s v="NA"/>
    <s v="Murphy"/>
    <s v="Julie"/>
    <s v="Small"/>
    <s v=""/>
    <x v="6"/>
  </r>
  <r>
    <n v="10211"/>
    <n v="41"/>
    <n v="100"/>
    <n v="14"/>
    <n v="4708.4399999999996"/>
    <d v="2004-01-15T00:00:00"/>
    <s v="Shipped"/>
    <n v="1"/>
    <n v="1"/>
    <n v="2004"/>
    <s v="Motorcycles"/>
    <n v="95"/>
    <s v="S10_1678"/>
    <s v="Auto Canal Petit"/>
    <s v="(1) 47.55.6555"/>
    <s v="25, rue Lauriston"/>
    <m/>
    <s v="Paris"/>
    <m/>
    <n v="75016"/>
    <s v="France"/>
    <s v="EMEA"/>
    <s v="Perrier"/>
    <s v="Dominique"/>
    <s v="Medium"/>
    <s v=""/>
    <x v="7"/>
  </r>
  <r>
    <n v="10223"/>
    <n v="37"/>
    <n v="100"/>
    <n v="1"/>
    <n v="3965.66"/>
    <d v="2004-02-20T00:00:00"/>
    <s v="Shipped"/>
    <n v="1"/>
    <n v="2"/>
    <n v="2004"/>
    <s v="Motorcycles"/>
    <n v="95"/>
    <s v="S10_1678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s v=""/>
    <x v="0"/>
  </r>
  <r>
    <n v="10237"/>
    <n v="23"/>
    <n v="100"/>
    <n v="7"/>
    <n v="2333.12"/>
    <d v="2004-04-05T00:00:00"/>
    <s v="Shipped"/>
    <n v="2"/>
    <n v="4"/>
    <n v="2004"/>
    <s v="Motorcycles"/>
    <n v="95"/>
    <s v="S10_1678"/>
    <s v="Vitachrome Inc."/>
    <n v="2125551500"/>
    <s v="2678 Kingston Rd."/>
    <s v="Suite 101"/>
    <s v="NYC"/>
    <s v="NY"/>
    <n v="10022"/>
    <s v="USA"/>
    <s v="NA"/>
    <s v="Frick"/>
    <s v="Michael"/>
    <s v="Small"/>
    <s v=""/>
    <x v="8"/>
  </r>
  <r>
    <n v="10251"/>
    <n v="28"/>
    <n v="100"/>
    <n v="2"/>
    <n v="3188.64"/>
    <d v="2004-05-18T00:00:00"/>
    <s v="Shipped"/>
    <n v="2"/>
    <n v="5"/>
    <n v="2004"/>
    <s v="Motorcycles"/>
    <n v="95"/>
    <s v="S10_1678"/>
    <s v="Tekni Collectables Inc."/>
    <n v="2015559350"/>
    <s v="7476 Moss Rd."/>
    <m/>
    <s v="Newark"/>
    <s v="NJ"/>
    <n v="94019"/>
    <s v="USA"/>
    <s v="NA"/>
    <s v="Brown"/>
    <s v="William"/>
    <s v="Medium"/>
    <s v=""/>
    <x v="1"/>
  </r>
  <r>
    <n v="10263"/>
    <n v="34"/>
    <n v="100"/>
    <n v="2"/>
    <n v="3676.76"/>
    <d v="2004-06-28T00:00:00"/>
    <s v="Shipped"/>
    <n v="2"/>
    <n v="6"/>
    <n v="2004"/>
    <s v="Motorcycles"/>
    <n v="95"/>
    <s v="S10_1678"/>
    <s v="Gift Depot Inc."/>
    <n v="2035552570"/>
    <s v="25593 South Bay Ln."/>
    <m/>
    <s v="Bridgewater"/>
    <s v="CT"/>
    <n v="97562"/>
    <s v="USA"/>
    <s v="NA"/>
    <s v="King"/>
    <s v="Julie"/>
    <s v="Medium"/>
    <s v=""/>
    <x v="9"/>
  </r>
  <r>
    <n v="10275"/>
    <n v="45"/>
    <n v="92.83"/>
    <n v="1"/>
    <n v="4177.3500000000004"/>
    <d v="2004-07-23T00:00:00"/>
    <s v="Shipped"/>
    <n v="3"/>
    <n v="7"/>
    <n v="2004"/>
    <s v="Motorcycles"/>
    <n v="95"/>
    <s v="S10_1678"/>
    <s v="La Rochelle Gifts"/>
    <s v="40.67.8555"/>
    <s v="67, rue des Cinquante Otages"/>
    <m/>
    <s v="Nantes"/>
    <m/>
    <n v="44000"/>
    <s v="France"/>
    <s v="EMEA"/>
    <s v="Labrune"/>
    <s v="Janine"/>
    <s v="Medium"/>
    <s v=""/>
    <x v="2"/>
  </r>
  <r>
    <n v="10285"/>
    <n v="36"/>
    <n v="100"/>
    <n v="6"/>
    <n v="4099.68"/>
    <d v="2004-08-27T00:00:00"/>
    <s v="Shipped"/>
    <n v="3"/>
    <n v="8"/>
    <n v="2004"/>
    <s v="Motorcycles"/>
    <n v="95"/>
    <s v="S10_1678"/>
    <s v="Marta's Replicas Co."/>
    <n v="6175558555"/>
    <s v="39323 Spinnaker Dr."/>
    <m/>
    <s v="Cambridge"/>
    <s v="MA"/>
    <n v="51247"/>
    <s v="USA"/>
    <s v="NA"/>
    <s v="Hernandez"/>
    <s v="Marta"/>
    <s v="Medium"/>
    <s v=""/>
    <x v="3"/>
  </r>
  <r>
    <n v="10299"/>
    <n v="23"/>
    <n v="100"/>
    <n v="9"/>
    <n v="2597.39"/>
    <d v="2004-09-30T00:00:00"/>
    <s v="Shipped"/>
    <n v="3"/>
    <n v="9"/>
    <n v="2004"/>
    <s v="Motorcycles"/>
    <n v="95"/>
    <s v="S10_1678"/>
    <s v="Toys of Finland, Co."/>
    <s v="90-224 8555"/>
    <s v="Keskuskatu 45"/>
    <m/>
    <s v="Helsinki"/>
    <m/>
    <n v="21240"/>
    <s v="Finland"/>
    <s v="EMEA"/>
    <s v="Karttunen"/>
    <s v="Matti"/>
    <s v="Small"/>
    <s v=""/>
    <x v="10"/>
  </r>
  <r>
    <n v="10309"/>
    <n v="41"/>
    <n v="100"/>
    <n v="5"/>
    <n v="4394.38"/>
    <d v="2004-10-15T00:00:00"/>
    <s v="Shipped"/>
    <n v="4"/>
    <n v="10"/>
    <n v="2004"/>
    <s v="Motorcycles"/>
    <n v="95"/>
    <s v="S10_1678"/>
    <s v="Baane Mini Imports"/>
    <s v="07-98 9555"/>
    <s v="Erling Skakkes gate 78"/>
    <m/>
    <s v="Stavern"/>
    <m/>
    <n v="4110"/>
    <s v="Norway"/>
    <s v="EMEA"/>
    <s v="Bergulfsen"/>
    <s v="Jonas"/>
    <s v="Medium"/>
    <s v=""/>
    <x v="4"/>
  </r>
  <r>
    <n v="10318"/>
    <n v="46"/>
    <n v="94.74"/>
    <n v="1"/>
    <n v="4358.04"/>
    <d v="2004-11-02T00:00:00"/>
    <s v="Shipped"/>
    <n v="4"/>
    <n v="11"/>
    <n v="2004"/>
    <s v="Motorcycles"/>
    <n v="95"/>
    <s v="S10_1678"/>
    <s v="Diecast Classics Inc."/>
    <n v="2155551555"/>
    <s v="7586 Pompton St."/>
    <m/>
    <s v="Allentown"/>
    <s v="PA"/>
    <n v="70267"/>
    <s v="USA"/>
    <s v="NA"/>
    <s v="Yu"/>
    <s v="Kyung"/>
    <s v="Medium"/>
    <s v=""/>
    <x v="5"/>
  </r>
  <r>
    <n v="10329"/>
    <n v="42"/>
    <n v="100"/>
    <n v="1"/>
    <n v="4396.1400000000003"/>
    <d v="2004-11-15T00:00:00"/>
    <s v="Shipped"/>
    <n v="4"/>
    <n v="11"/>
    <n v="2004"/>
    <s v="Motorcycles"/>
    <n v="95"/>
    <s v="S10_1678"/>
    <s v="Land of Toys Inc."/>
    <n v="2125557818"/>
    <s v="897 Long Airport Avenue"/>
    <m/>
    <s v="NYC"/>
    <s v="NY"/>
    <n v="10022"/>
    <s v="USA"/>
    <s v="NA"/>
    <s v="Yu"/>
    <s v="Kwai"/>
    <s v="Medium"/>
    <s v=""/>
    <x v="5"/>
  </r>
  <r>
    <n v="10341"/>
    <n v="41"/>
    <n v="100"/>
    <n v="9"/>
    <n v="7737.93"/>
    <d v="2004-11-24T00:00:00"/>
    <s v="Shipped"/>
    <n v="4"/>
    <n v="11"/>
    <n v="2004"/>
    <s v="Motorcycles"/>
    <n v="95"/>
    <s v="S10_1678"/>
    <s v="Salzburg Collectables"/>
    <s v="6562-9555"/>
    <s v="Geislweg 14"/>
    <m/>
    <s v="Salzburg"/>
    <m/>
    <n v="5020"/>
    <s v="Austria"/>
    <s v="EMEA"/>
    <s v="Pipps"/>
    <s v="Georg"/>
    <s v="Large"/>
    <s v=""/>
    <x v="5"/>
  </r>
  <r>
    <n v="10361"/>
    <n v="20"/>
    <n v="72.55"/>
    <n v="13"/>
    <n v="1451"/>
    <d v="2004-12-17T00:00:00"/>
    <s v="Shipped"/>
    <n v="4"/>
    <n v="12"/>
    <n v="2004"/>
    <s v="Motorcycles"/>
    <n v="95"/>
    <s v="S10_167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s v=""/>
    <x v="6"/>
  </r>
  <r>
    <n v="10375"/>
    <n v="21"/>
    <n v="34.909999999999997"/>
    <n v="12"/>
    <n v="733.11"/>
    <d v="2005-02-03T00:00:00"/>
    <s v="Shipped"/>
    <n v="1"/>
    <n v="2"/>
    <n v="2005"/>
    <s v="Motorcycles"/>
    <n v="95"/>
    <s v="S10_1678"/>
    <s v="La Rochelle Gifts"/>
    <s v="40.67.8555"/>
    <s v="67, rue des Cinquante Otages"/>
    <m/>
    <s v="Nantes"/>
    <m/>
    <n v="44000"/>
    <s v="France"/>
    <s v="EMEA"/>
    <s v="Labrune"/>
    <s v="Janine"/>
    <s v="Small"/>
    <s v=""/>
    <x v="0"/>
  </r>
  <r>
    <n v="10388"/>
    <n v="42"/>
    <n v="76.36"/>
    <n v="4"/>
    <n v="3207.12"/>
    <d v="2005-03-03T00:00:00"/>
    <s v="Shipped"/>
    <n v="1"/>
    <n v="3"/>
    <n v="2005"/>
    <s v="Motorcycles"/>
    <n v="95"/>
    <s v="S10_1678"/>
    <s v="FunGiftIdeas.com"/>
    <n v="5085552555"/>
    <s v="1785 First Street"/>
    <m/>
    <s v="New Bedford"/>
    <s v="MA"/>
    <n v="50553"/>
    <s v="USA"/>
    <s v="NA"/>
    <s v="Benitez"/>
    <s v="Violeta"/>
    <s v="Medium"/>
    <s v=""/>
    <x v="11"/>
  </r>
  <r>
    <n v="10403"/>
    <n v="24"/>
    <n v="100"/>
    <n v="7"/>
    <n v="2434.56"/>
    <d v="2005-04-08T00:00:00"/>
    <s v="Shipped"/>
    <n v="2"/>
    <n v="4"/>
    <n v="2005"/>
    <s v="Motorcycles"/>
    <n v="95"/>
    <s v="S10_1678"/>
    <s v="UK Collectables, Ltd."/>
    <s v="(171) 555-2282"/>
    <s v="Berkeley Gardens 12  Brewery"/>
    <m/>
    <s v="Liverpool"/>
    <m/>
    <s v="WX1 6LT"/>
    <s v="UK"/>
    <s v="EMEA"/>
    <s v="Devon"/>
    <s v="Elizabeth"/>
    <s v="Small"/>
    <s v=""/>
    <x v="8"/>
  </r>
  <r>
    <n v="10417"/>
    <n v="66"/>
    <n v="100"/>
    <n v="2"/>
    <n v="7516.08"/>
    <d v="2005-05-13T00:00:00"/>
    <s v="Disputed"/>
    <n v="2"/>
    <n v="5"/>
    <n v="2005"/>
    <s v="Motorcycles"/>
    <n v="95"/>
    <s v="S10_1678"/>
    <s v="Euro Shopping Channel"/>
    <s v="(91) 555 94 44"/>
    <s v="C/ Moralzarzal, 86"/>
    <m/>
    <s v="Madrid"/>
    <m/>
    <n v="28034"/>
    <s v="Spain"/>
    <s v="EMEA"/>
    <s v="Freyre"/>
    <s v="Diego"/>
    <s v="Large"/>
    <s v=""/>
    <x v="1"/>
  </r>
  <r>
    <n v="10103"/>
    <n v="26"/>
    <n v="100"/>
    <n v="11"/>
    <n v="5404.62"/>
    <d v="2003-01-29T00:00:00"/>
    <s v="Shipped"/>
    <n v="1"/>
    <n v="1"/>
    <n v="2003"/>
    <s v="Classic Cars"/>
    <n v="214"/>
    <s v="S10_1949"/>
    <s v="Baane Mini Imports"/>
    <s v="07-98 9555"/>
    <s v="Erling Skakkes gate 78"/>
    <m/>
    <s v="Stavern"/>
    <m/>
    <n v="4110"/>
    <s v="Norway"/>
    <s v="EMEA"/>
    <s v="Bergulfsen"/>
    <s v="Jonas"/>
    <s v="Medium"/>
    <s v=""/>
    <x v="7"/>
  </r>
  <r>
    <n v="10112"/>
    <n v="29"/>
    <n v="100"/>
    <n v="1"/>
    <n v="7209.11"/>
    <d v="2003-03-24T00:00:00"/>
    <s v="Shipped"/>
    <n v="1"/>
    <n v="3"/>
    <n v="2003"/>
    <s v="Classic Cars"/>
    <n v="214"/>
    <s v="S10_1949"/>
    <s v="Volvo Model Replicas, Co"/>
    <s v="0921-12 3555"/>
    <s v="Berguvsv„gen  8"/>
    <m/>
    <s v="Lule"/>
    <m/>
    <s v="S-958 22"/>
    <s v="Sweden"/>
    <s v="EMEA"/>
    <s v="Berglund"/>
    <s v="Christina"/>
    <s v="Large"/>
    <s v=""/>
    <x v="11"/>
  </r>
  <r>
    <n v="10126"/>
    <n v="38"/>
    <n v="100"/>
    <n v="11"/>
    <n v="7329.06"/>
    <d v="2003-05-28T00:00:00"/>
    <s v="Shipped"/>
    <n v="2"/>
    <n v="5"/>
    <n v="2003"/>
    <s v="Classic Cars"/>
    <n v="214"/>
    <s v="S10_1949"/>
    <s v="Corrida Auto Replicas, Ltd"/>
    <s v="(91) 555 22 82"/>
    <s v="C/ Araquil, 67"/>
    <m/>
    <s v="Madrid"/>
    <m/>
    <n v="28023"/>
    <s v="Spain"/>
    <s v="EMEA"/>
    <s v="Sommer"/>
    <s v="Mart¡n"/>
    <s v="Large"/>
    <s v=""/>
    <x v="1"/>
  </r>
  <r>
    <n v="10140"/>
    <n v="37"/>
    <n v="100"/>
    <n v="11"/>
    <n v="7374.1"/>
    <d v="2003-07-24T00:00:00"/>
    <s v="Shipped"/>
    <n v="3"/>
    <n v="7"/>
    <n v="2003"/>
    <s v="Classic Cars"/>
    <n v="214"/>
    <s v="S10_1949"/>
    <s v="Technics Stores Inc."/>
    <n v="6505556809"/>
    <s v="9408 Furth Circle"/>
    <m/>
    <s v="Burlingame"/>
    <s v="CA"/>
    <n v="94217"/>
    <s v="USA"/>
    <s v="NA"/>
    <s v="Hirano"/>
    <s v="Juri"/>
    <s v="Large"/>
    <s v=""/>
    <x v="2"/>
  </r>
  <r>
    <n v="10150"/>
    <n v="45"/>
    <n v="100"/>
    <n v="8"/>
    <n v="10993.5"/>
    <d v="2003-09-19T00:00:00"/>
    <s v="Shipped"/>
    <n v="3"/>
    <n v="9"/>
    <n v="2003"/>
    <s v="Classic Cars"/>
    <n v="214"/>
    <s v="S10_1949"/>
    <s v="Dragon Souveniers, Ltd."/>
    <s v="+65 221 7555"/>
    <s v="Bronz Sok., Bronz Apt. 3/6 Tesvikiye"/>
    <m/>
    <s v="Singapore"/>
    <m/>
    <n v="79903"/>
    <s v="Singapore"/>
    <s v="Japan"/>
    <s v="Natividad"/>
    <s v="Eric"/>
    <s v="Large"/>
    <s v=""/>
    <x v="10"/>
  </r>
  <r>
    <n v="10163"/>
    <n v="21"/>
    <n v="100"/>
    <n v="1"/>
    <n v="4860.24"/>
    <d v="2003-10-20T00:00:00"/>
    <s v="Shipped"/>
    <n v="4"/>
    <n v="10"/>
    <n v="2003"/>
    <s v="Classic Cars"/>
    <n v="214"/>
    <s v="S10_1949"/>
    <s v="Classic Legends Inc."/>
    <n v="2125558493"/>
    <s v="5905 Pompton St."/>
    <s v="Suite 750"/>
    <s v="NYC"/>
    <s v="NY"/>
    <n v="10022"/>
    <s v="USA"/>
    <s v="NA"/>
    <s v="Hernandez"/>
    <s v="Maria"/>
    <s v="Medium"/>
    <s v=""/>
    <x v="4"/>
  </r>
  <r>
    <n v="10174"/>
    <n v="34"/>
    <n v="100"/>
    <n v="4"/>
    <n v="8014.82"/>
    <d v="2003-11-06T00:00:00"/>
    <s v="Shipped"/>
    <n v="4"/>
    <n v="11"/>
    <n v="2003"/>
    <s v="Classic Cars"/>
    <n v="214"/>
    <s v="S10_1949"/>
    <s v="Australian Gift Network, Co"/>
    <s v="61-7-3844-6555"/>
    <s v="31 Duncan St. West End"/>
    <m/>
    <s v="South Brisbane"/>
    <s v="Queensland"/>
    <n v="4101"/>
    <s v="Australia"/>
    <s v="APAC"/>
    <s v="Calaghan"/>
    <s v="Tony"/>
    <s v="Large"/>
    <s v=""/>
    <x v="5"/>
  </r>
  <r>
    <n v="10183"/>
    <n v="23"/>
    <n v="100"/>
    <n v="8"/>
    <n v="5372.57"/>
    <d v="2003-11-13T00:00:00"/>
    <s v="Shipped"/>
    <n v="4"/>
    <n v="11"/>
    <n v="2003"/>
    <s v="Classic Cars"/>
    <n v="214"/>
    <s v="S10_1949"/>
    <s v="Classic Gift Ideas, Inc"/>
    <n v="2155554695"/>
    <s v="782 First Street"/>
    <m/>
    <s v="Philadelphia"/>
    <s v="PA"/>
    <n v="71270"/>
    <s v="USA"/>
    <s v="NA"/>
    <s v="Cervantes"/>
    <s v="Francisca"/>
    <s v="Medium"/>
    <s v=""/>
    <x v="5"/>
  </r>
  <r>
    <n v="10194"/>
    <n v="42"/>
    <n v="100"/>
    <n v="11"/>
    <n v="7290.36"/>
    <d v="2003-11-25T00:00:00"/>
    <s v="Shipped"/>
    <n v="4"/>
    <n v="11"/>
    <n v="2003"/>
    <s v="Classic Cars"/>
    <n v="214"/>
    <s v="S10_1949"/>
    <s v="Saveley &amp; Henriot, Co."/>
    <s v="78.32.5555"/>
    <s v="2, rue du Commerce"/>
    <m/>
    <s v="Lyon"/>
    <m/>
    <n v="69004"/>
    <s v="France"/>
    <s v="EMEA"/>
    <s v="Saveley"/>
    <s v="Mary"/>
    <s v="Large"/>
    <s v=""/>
    <x v="5"/>
  </r>
  <r>
    <n v="10206"/>
    <n v="47"/>
    <n v="100"/>
    <n v="6"/>
    <n v="9064.89"/>
    <d v="2003-12-05T00:00:00"/>
    <s v="Shipped"/>
    <n v="4"/>
    <n v="12"/>
    <n v="2003"/>
    <s v="Classic Cars"/>
    <n v="214"/>
    <s v="S10_1949"/>
    <s v="Canadian Gift Exchange Network"/>
    <s v="(604) 555-3392"/>
    <s v="1900 Oak St."/>
    <m/>
    <s v="Vancouver"/>
    <s v="BC"/>
    <s v="V3F 2K1"/>
    <s v="Canada"/>
    <s v="NA"/>
    <s v="Tannamuri"/>
    <s v="Yoshi"/>
    <s v="Large"/>
    <s v=""/>
    <x v="6"/>
  </r>
  <r>
    <n v="10215"/>
    <n v="35"/>
    <n v="100"/>
    <n v="3"/>
    <n v="6075.3"/>
    <d v="2004-01-29T00:00:00"/>
    <s v="Shipped"/>
    <n v="1"/>
    <n v="1"/>
    <n v="2004"/>
    <s v="Classic Cars"/>
    <n v="214"/>
    <s v="S10_1949"/>
    <s v="West Coast Collectables Co."/>
    <n v="3105553722"/>
    <s v="3675 Furth Circle"/>
    <m/>
    <s v="Burbank"/>
    <s v="CA"/>
    <n v="94019"/>
    <s v="USA"/>
    <s v="NA"/>
    <s v="Thompson"/>
    <s v="Steve"/>
    <s v="Medium"/>
    <s v=""/>
    <x v="7"/>
  </r>
  <r>
    <n v="10228"/>
    <n v="29"/>
    <n v="100"/>
    <n v="2"/>
    <n v="6463.23"/>
    <d v="2004-03-10T00:00:00"/>
    <s v="Shipped"/>
    <n v="1"/>
    <n v="3"/>
    <n v="2004"/>
    <s v="Classic Cars"/>
    <n v="214"/>
    <s v="S10_1949"/>
    <s v="Cambridge Collectables Co."/>
    <n v="6175555555"/>
    <s v="4658 Baden Av."/>
    <m/>
    <s v="Cambridge"/>
    <s v="MA"/>
    <n v="51247"/>
    <s v="USA"/>
    <s v="NA"/>
    <s v="Tseng"/>
    <s v="Kyung"/>
    <s v="Medium"/>
    <s v=""/>
    <x v="11"/>
  </r>
  <r>
    <n v="10245"/>
    <n v="34"/>
    <n v="100"/>
    <n v="9"/>
    <n v="6120.34"/>
    <d v="2004-05-04T00:00:00"/>
    <s v="Shipped"/>
    <n v="2"/>
    <n v="5"/>
    <n v="2004"/>
    <s v="Classic Cars"/>
    <n v="214"/>
    <s v="S10_1949"/>
    <s v="Super Scale Inc."/>
    <n v="2035559545"/>
    <s v="567 North Pendale Street"/>
    <m/>
    <s v="New Haven"/>
    <s v="CT"/>
    <n v="97823"/>
    <s v="USA"/>
    <s v="NA"/>
    <s v="Murphy"/>
    <s v="Leslie"/>
    <s v="Medium"/>
    <s v=""/>
    <x v="1"/>
  </r>
  <r>
    <n v="10258"/>
    <n v="32"/>
    <n v="100"/>
    <n v="6"/>
    <n v="7680.64"/>
    <d v="2004-06-15T00:00:00"/>
    <s v="Shipped"/>
    <n v="2"/>
    <n v="6"/>
    <n v="2004"/>
    <s v="Classic Cars"/>
    <n v="214"/>
    <s v="S10_1949"/>
    <s v="Tokyo Collectables, Ltd"/>
    <s v="+81 3 3584 0555"/>
    <s v="2-2-8 Roppongi"/>
    <m/>
    <s v="Minato-ku"/>
    <s v="Tokyo"/>
    <s v="106-0032"/>
    <s v="Japan"/>
    <s v="Japan"/>
    <s v="Shimamura"/>
    <s v="Akiko"/>
    <s v="Large"/>
    <s v=""/>
    <x v="9"/>
  </r>
  <r>
    <n v="10270"/>
    <n v="21"/>
    <n v="100"/>
    <n v="9"/>
    <n v="4905.3900000000003"/>
    <d v="2004-07-19T00:00:00"/>
    <s v="Shipped"/>
    <n v="3"/>
    <n v="7"/>
    <n v="2004"/>
    <s v="Classic Cars"/>
    <n v="214"/>
    <s v="S10_194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s v=""/>
    <x v="2"/>
  </r>
  <r>
    <n v="10280"/>
    <n v="34"/>
    <n v="100"/>
    <n v="2"/>
    <n v="8014.82"/>
    <d v="2004-08-17T00:00:00"/>
    <s v="Shipped"/>
    <n v="3"/>
    <n v="8"/>
    <n v="2004"/>
    <s v="Classic Cars"/>
    <n v="214"/>
    <s v="S10_1949"/>
    <s v="Amica Models &amp; Co."/>
    <s v="011-4988555"/>
    <s v="Via Monte Bianco 34"/>
    <m/>
    <s v="Torino"/>
    <m/>
    <n v="10100"/>
    <s v="Italy"/>
    <s v="EMEA"/>
    <s v="Accorti"/>
    <s v="Paolo"/>
    <s v="Large"/>
    <s v=""/>
    <x v="3"/>
  </r>
  <r>
    <n v="10291"/>
    <n v="37"/>
    <n v="100"/>
    <n v="11"/>
    <n v="7136.19"/>
    <d v="2004-09-08T00:00:00"/>
    <s v="Shipped"/>
    <n v="3"/>
    <n v="9"/>
    <n v="2004"/>
    <s v="Classic Cars"/>
    <n v="214"/>
    <s v="S10_1949"/>
    <s v="Scandinavian Gift Ideas"/>
    <s v="0695-34 6555"/>
    <s v="?kergatan 24"/>
    <m/>
    <s v="Boras"/>
    <m/>
    <s v="S-844 67"/>
    <s v="Sweden"/>
    <s v="EMEA"/>
    <s v="Larsson"/>
    <s v="Maria"/>
    <s v="Large"/>
    <s v=""/>
    <x v="10"/>
  </r>
  <r>
    <n v="10304"/>
    <n v="47"/>
    <n v="100"/>
    <n v="6"/>
    <n v="10172.700000000001"/>
    <d v="2004-10-11T00:00:00"/>
    <s v="Shipped"/>
    <n v="4"/>
    <n v="10"/>
    <n v="2004"/>
    <s v="Classic Cars"/>
    <n v="214"/>
    <s v="S10_1949"/>
    <s v="Auto Assoc. &amp; Cie."/>
    <s v="30.59.8555"/>
    <s v="67, avenue de l'Europe"/>
    <m/>
    <s v="Versailles"/>
    <m/>
    <n v="78000"/>
    <s v="France"/>
    <s v="EMEA"/>
    <s v="Tonini"/>
    <s v="Daniel"/>
    <s v="Large"/>
    <s v=""/>
    <x v="4"/>
  </r>
  <r>
    <n v="10312"/>
    <n v="48"/>
    <n v="100"/>
    <n v="3"/>
    <n v="11623.7"/>
    <d v="2004-10-21T00:00:00"/>
    <s v="Shipped"/>
    <n v="4"/>
    <n v="10"/>
    <n v="2004"/>
    <s v="Classic Cars"/>
    <n v="214"/>
    <s v="S10_1949"/>
    <s v="Mini Gifts Distributors Ltd."/>
    <n v="4155551450"/>
    <s v="5677 Strong St."/>
    <m/>
    <s v="San Rafael"/>
    <s v="CA"/>
    <n v="97562"/>
    <s v="USA"/>
    <s v="NA"/>
    <s v="Nelson"/>
    <s v="Valarie"/>
    <s v="Large"/>
    <s v=""/>
    <x v="4"/>
  </r>
  <r>
    <n v="10322"/>
    <n v="40"/>
    <n v="100"/>
    <n v="1"/>
    <n v="6000.4"/>
    <d v="2004-11-04T00:00:00"/>
    <s v="Shipped"/>
    <n v="4"/>
    <n v="11"/>
    <n v="2004"/>
    <s v="Classic Cars"/>
    <n v="214"/>
    <s v="S10_1949"/>
    <s v="Online Diecast Creations Co."/>
    <n v="6035558647"/>
    <s v="2304 Long Airport Avenue"/>
    <m/>
    <s v="Nashua"/>
    <s v="NH"/>
    <n v="62005"/>
    <s v="USA"/>
    <s v="NA"/>
    <s v="Young"/>
    <s v="Valarie"/>
    <s v="Medium"/>
    <s v=""/>
    <x v="5"/>
  </r>
  <r>
    <n v="10333"/>
    <n v="26"/>
    <n v="100"/>
    <n v="3"/>
    <n v="3003"/>
    <d v="2004-11-18T00:00:00"/>
    <s v="Shipped"/>
    <n v="4"/>
    <n v="11"/>
    <n v="2004"/>
    <s v="Classic Cars"/>
    <n v="214"/>
    <s v="S10_1949"/>
    <s v="Mini Wheels Co."/>
    <n v="6505555787"/>
    <s v="5557 North Pendale Street"/>
    <m/>
    <s v="San Francisco"/>
    <s v="CA"/>
    <m/>
    <s v="USA"/>
    <s v="NA"/>
    <s v="Murphy"/>
    <s v="Julie"/>
    <s v="Medium"/>
    <s v=""/>
    <x v="5"/>
  </r>
  <r>
    <n v="10347"/>
    <n v="30"/>
    <n v="100"/>
    <n v="1"/>
    <n v="3944.7"/>
    <d v="2004-11-29T00:00:00"/>
    <s v="Shipped"/>
    <n v="4"/>
    <n v="11"/>
    <n v="2004"/>
    <s v="Classic Cars"/>
    <n v="214"/>
    <s v="S10_1949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s v=""/>
    <x v="5"/>
  </r>
  <r>
    <n v="10357"/>
    <n v="32"/>
    <n v="100"/>
    <n v="10"/>
    <n v="5691.84"/>
    <d v="2004-12-10T00:00:00"/>
    <s v="Shipped"/>
    <n v="4"/>
    <n v="12"/>
    <n v="2004"/>
    <s v="Classic Cars"/>
    <n v="214"/>
    <s v="S10_1949"/>
    <s v="Mini Gifts Distributors Ltd."/>
    <n v="4155551450"/>
    <s v="5677 Strong St."/>
    <m/>
    <s v="San Rafael"/>
    <s v="CA"/>
    <n v="97562"/>
    <s v="USA"/>
    <s v="NA"/>
    <s v="Nelson"/>
    <s v="Valarie"/>
    <s v="Medium"/>
    <s v=""/>
    <x v="6"/>
  </r>
  <r>
    <n v="10369"/>
    <n v="41"/>
    <n v="100"/>
    <n v="2"/>
    <n v="4514.92"/>
    <d v="2005-01-20T00:00:00"/>
    <s v="Shipped"/>
    <n v="1"/>
    <n v="1"/>
    <n v="2005"/>
    <s v="Classic Cars"/>
    <n v="214"/>
    <s v="S10_1949"/>
    <s v="Collectables For Less Inc."/>
    <n v="6175558555"/>
    <s v="7825 Douglas Av."/>
    <m/>
    <s v="Brickhaven"/>
    <s v="MA"/>
    <n v="58339"/>
    <s v="USA"/>
    <s v="NA"/>
    <s v="Nelson"/>
    <s v="Allen"/>
    <s v="Medium"/>
    <s v=""/>
    <x v="7"/>
  </r>
  <r>
    <n v="10381"/>
    <n v="36"/>
    <n v="100"/>
    <n v="3"/>
    <n v="8254.7999999999993"/>
    <d v="2005-02-17T00:00:00"/>
    <s v="Shipped"/>
    <n v="1"/>
    <n v="2"/>
    <n v="2005"/>
    <s v="Classic Cars"/>
    <n v="214"/>
    <s v="S10_1949"/>
    <s v="Corporate Gift Ideas Co."/>
    <n v="6505551386"/>
    <s v="7734 Strong St."/>
    <m/>
    <s v="San Francisco"/>
    <s v="CA"/>
    <m/>
    <s v="USA"/>
    <s v="NA"/>
    <s v="Brown"/>
    <s v="Julie"/>
    <s v="Large"/>
    <s v=""/>
    <x v="0"/>
  </r>
  <r>
    <n v="10391"/>
    <n v="24"/>
    <n v="100"/>
    <n v="4"/>
    <n v="2416.56"/>
    <d v="2005-03-09T00:00:00"/>
    <s v="Shipped"/>
    <n v="1"/>
    <n v="3"/>
    <n v="2005"/>
    <s v="Classic Cars"/>
    <n v="214"/>
    <s v="S10_1949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s v=""/>
    <x v="11"/>
  </r>
  <r>
    <n v="10411"/>
    <n v="23"/>
    <n v="100"/>
    <n v="9"/>
    <n v="4140.2299999999996"/>
    <d v="2005-05-01T00:00:00"/>
    <s v="Shipped"/>
    <n v="2"/>
    <n v="5"/>
    <n v="2005"/>
    <s v="Classic Cars"/>
    <n v="214"/>
    <s v="S10_1949"/>
    <s v="Quebec Home Shopping Network"/>
    <s v="(514) 555-8054"/>
    <s v="43 rue St. Laurent"/>
    <m/>
    <s v="Montreal"/>
    <s v="Quebec"/>
    <s v="H1J 1C3"/>
    <s v="Canada"/>
    <s v="NA"/>
    <s v="Fresnisre"/>
    <s v="Jean"/>
    <s v="Medium"/>
    <s v=""/>
    <x v="1"/>
  </r>
  <r>
    <n v="10424"/>
    <n v="50"/>
    <n v="100"/>
    <n v="6"/>
    <n v="12001"/>
    <d v="2005-05-31T00:00:00"/>
    <s v="In Process"/>
    <n v="2"/>
    <n v="5"/>
    <n v="2005"/>
    <s v="Classic Cars"/>
    <n v="214"/>
    <s v="S10_1949"/>
    <s v="Euro Shopping Channel"/>
    <s v="(91) 555 94 44"/>
    <s v="C/ Moralzarzal, 86"/>
    <m/>
    <s v="Madrid"/>
    <m/>
    <n v="28034"/>
    <s v="Spain"/>
    <s v="EMEA"/>
    <s v="Freyre"/>
    <s v="Diego"/>
    <s v="Large"/>
    <s v=""/>
    <x v="1"/>
  </r>
  <r>
    <n v="10120"/>
    <n v="29"/>
    <n v="96.34"/>
    <n v="3"/>
    <n v="2793.86"/>
    <d v="2003-04-29T00:00:00"/>
    <s v="Shipped"/>
    <n v="2"/>
    <n v="4"/>
    <n v="2003"/>
    <s v="Motorcycles"/>
    <n v="118"/>
    <s v="S10_2016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s v=""/>
    <x v="8"/>
  </r>
  <r>
    <n v="10210"/>
    <n v="23"/>
    <n v="100"/>
    <n v="2"/>
    <n v="3009.09"/>
    <d v="2004-01-12T00:00:00"/>
    <s v="Shipped"/>
    <n v="1"/>
    <n v="1"/>
    <n v="2004"/>
    <s v="Motorcycles"/>
    <n v="118"/>
    <s v="S10_2016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  <s v=""/>
    <x v="7"/>
  </r>
  <r>
    <n v="10236"/>
    <n v="22"/>
    <n v="100"/>
    <n v="1"/>
    <n v="2852.08"/>
    <d v="2004-04-03T00:00:00"/>
    <s v="Shipped"/>
    <n v="2"/>
    <n v="4"/>
    <n v="2004"/>
    <s v="Motorcycles"/>
    <n v="118"/>
    <s v="S10_2016"/>
    <s v="Motor Mint Distributors Inc."/>
    <n v="2155559857"/>
    <s v="11328 Douglas Av."/>
    <m/>
    <s v="Philadelphia"/>
    <s v="PA"/>
    <n v="71270"/>
    <s v="USA"/>
    <s v="NA"/>
    <s v="Hernandez"/>
    <s v="Rosa"/>
    <s v="Small"/>
    <s v=""/>
    <x v="8"/>
  </r>
  <r>
    <n v="10298"/>
    <n v="39"/>
    <n v="96.34"/>
    <n v="1"/>
    <n v="3757.26"/>
    <d v="2004-09-27T00:00:00"/>
    <s v="Shipped"/>
    <n v="3"/>
    <n v="9"/>
    <n v="2004"/>
    <s v="Motorcycles"/>
    <n v="118"/>
    <s v="S10_2016"/>
    <s v="Atelier graphique"/>
    <s v="40.32.2555"/>
    <s v="54, rue Royale"/>
    <m/>
    <s v="Nantes"/>
    <m/>
    <n v="44000"/>
    <s v="France"/>
    <s v="EMEA"/>
    <s v="Schmitt"/>
    <s v="Carine"/>
    <s v="Medium"/>
    <s v=""/>
    <x v="10"/>
  </r>
  <r>
    <n v="10308"/>
    <n v="34"/>
    <n v="100"/>
    <n v="2"/>
    <n v="4043.96"/>
    <d v="2004-10-15T00:00:00"/>
    <s v="Shipped"/>
    <n v="4"/>
    <n v="10"/>
    <n v="2004"/>
    <s v="Motorcycles"/>
    <n v="118"/>
    <s v="S10_2016"/>
    <s v="Mini Classics"/>
    <n v="9145554562"/>
    <s v="3758 North Pendale Street"/>
    <m/>
    <s v="White Plains"/>
    <s v="NY"/>
    <n v="24067"/>
    <s v="USA"/>
    <s v="NA"/>
    <s v="Frick"/>
    <s v="Steve"/>
    <s v="Medium"/>
    <s v=""/>
    <x v="4"/>
  </r>
  <r>
    <n v="10339"/>
    <n v="40"/>
    <n v="68.92"/>
    <n v="4"/>
    <n v="2756.8"/>
    <d v="2004-11-23T00:00:00"/>
    <s v="Shipped"/>
    <n v="4"/>
    <n v="11"/>
    <n v="2004"/>
    <s v="Motorcycles"/>
    <n v="118"/>
    <s v="S10_2016"/>
    <s v="Tokyo Collectables, Ltd"/>
    <s v="+81 3 3584 0555"/>
    <s v="2-2-8 Roppongi"/>
    <m/>
    <s v="Minato-ku"/>
    <s v="Tokyo"/>
    <s v="106-0032"/>
    <s v="Japan"/>
    <s v="Japan"/>
    <s v="Shimamura"/>
    <s v="Akiko"/>
    <s v="Small"/>
    <s v=""/>
    <x v="5"/>
  </r>
  <r>
    <n v="10374"/>
    <n v="39"/>
    <n v="100"/>
    <n v="5"/>
    <n v="5288.01"/>
    <d v="2005-02-02T00:00:00"/>
    <s v="Shipped"/>
    <n v="1"/>
    <n v="2"/>
    <n v="2005"/>
    <s v="Motorcycles"/>
    <n v="118"/>
    <s v="S10_2016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  <s v=""/>
    <x v="0"/>
  </r>
  <r>
    <n v="10402"/>
    <n v="45"/>
    <n v="100"/>
    <n v="1"/>
    <n v="5833.8"/>
    <d v="2005-04-07T00:00:00"/>
    <s v="Shipped"/>
    <n v="2"/>
    <n v="4"/>
    <n v="2005"/>
    <s v="Motorcycles"/>
    <n v="118"/>
    <s v="S10_2016"/>
    <s v="Auto Canal Petit"/>
    <s v="(1) 47.55.6555"/>
    <s v="25, rue Lauriston"/>
    <m/>
    <s v="Paris"/>
    <m/>
    <n v="75016"/>
    <s v="France"/>
    <s v="EMEA"/>
    <s v="Perrier"/>
    <s v="Dominique"/>
    <s v="Medium"/>
    <s v=""/>
    <x v="8"/>
  </r>
  <r>
    <n v="10362"/>
    <n v="22"/>
    <n v="100"/>
    <n v="4"/>
    <n v="3664.1"/>
    <d v="2005-01-05T00:00:00"/>
    <s v="Shipped"/>
    <n v="1"/>
    <n v="1"/>
    <n v="2005"/>
    <s v="Motorcycles"/>
    <n v="193"/>
    <s v="S10_4698"/>
    <s v="Technics Stores Inc."/>
    <n v="6505556809"/>
    <s v="9408 Furth Circle"/>
    <m/>
    <s v="Burlingame"/>
    <s v="CA"/>
    <n v="94217"/>
    <s v="USA"/>
    <s v="NA"/>
    <s v="Hirano"/>
    <s v="Juri"/>
    <s v="Medium"/>
    <s v=""/>
    <x v="7"/>
  </r>
  <r>
    <n v="10105"/>
    <n v="50"/>
    <n v="100"/>
    <n v="2"/>
    <n v="7208"/>
    <d v="2003-02-11T00:00:00"/>
    <s v="Shipped"/>
    <n v="1"/>
    <n v="2"/>
    <n v="2003"/>
    <s v="Classic Cars"/>
    <n v="136"/>
    <s v="S10_4757"/>
    <s v="Danish Wholesale Imports"/>
    <s v="31 12 3555"/>
    <s v="Vinb'ltet 34"/>
    <m/>
    <s v="Kobenhavn"/>
    <m/>
    <n v="1734"/>
    <s v="Denmark"/>
    <s v="EMEA"/>
    <s v="Petersen"/>
    <s v="Jytte"/>
    <s v="Large"/>
    <s v=""/>
    <x v="0"/>
  </r>
  <r>
    <n v="10119"/>
    <n v="46"/>
    <n v="100"/>
    <n v="11"/>
    <n v="5004.8"/>
    <d v="2003-04-28T00:00:00"/>
    <s v="Shipped"/>
    <n v="2"/>
    <n v="4"/>
    <n v="2003"/>
    <s v="Classic Cars"/>
    <n v="136"/>
    <s v="S10_4757"/>
    <s v="Salzburg Collectables"/>
    <s v="6562-9555"/>
    <s v="Geislweg 14"/>
    <m/>
    <s v="Salzburg"/>
    <m/>
    <n v="5020"/>
    <s v="Austria"/>
    <s v="EMEA"/>
    <s v="Pipps"/>
    <s v="Georg"/>
    <s v="Medium"/>
    <s v=""/>
    <x v="8"/>
  </r>
  <r>
    <n v="10129"/>
    <n v="33"/>
    <n v="100"/>
    <n v="2"/>
    <n v="4398.24"/>
    <d v="2003-06-12T00:00:00"/>
    <s v="Shipped"/>
    <n v="2"/>
    <n v="6"/>
    <n v="2003"/>
    <s v="Classic Cars"/>
    <n v="136"/>
    <s v="S10_4757"/>
    <s v="Stylish Desk Decors, Co."/>
    <s v="(171) 555-0297"/>
    <s v="35 King George"/>
    <m/>
    <s v="London"/>
    <m/>
    <s v="WX3 6FW"/>
    <s v="UK"/>
    <s v="EMEA"/>
    <s v="Brown"/>
    <s v="Ann"/>
    <s v="Medium"/>
    <s v=""/>
    <x v="9"/>
  </r>
  <r>
    <n v="10143"/>
    <n v="49"/>
    <n v="100"/>
    <n v="15"/>
    <n v="5597.76"/>
    <d v="2003-08-10T00:00:00"/>
    <s v="Shipped"/>
    <n v="3"/>
    <n v="8"/>
    <n v="2003"/>
    <s v="Classic Cars"/>
    <n v="136"/>
    <s v="S10_4757"/>
    <s v="Mini Creations Ltd."/>
    <n v="5085559555"/>
    <s v="4575 Hillside Dr."/>
    <m/>
    <s v="New Bedford"/>
    <s v="MA"/>
    <n v="50553"/>
    <s v="USA"/>
    <s v="NA"/>
    <s v="Tam"/>
    <s v="Wing C"/>
    <s v="Medium"/>
    <s v=""/>
    <x v="3"/>
  </r>
  <r>
    <n v="10155"/>
    <n v="32"/>
    <n v="100"/>
    <n v="13"/>
    <n v="4526.08"/>
    <d v="2003-10-06T00:00:00"/>
    <s v="Shipped"/>
    <n v="4"/>
    <n v="10"/>
    <n v="2003"/>
    <s v="Classic Cars"/>
    <n v="136"/>
    <s v="S10_4757"/>
    <s v="Toys of Finland, Co."/>
    <s v="90-224 8555"/>
    <s v="Keskuskatu 45"/>
    <m/>
    <s v="Helsinki"/>
    <m/>
    <n v="21240"/>
    <s v="Finland"/>
    <s v="EMEA"/>
    <s v="Karttunen"/>
    <s v="Matti"/>
    <s v="Medium"/>
    <s v=""/>
    <x v="4"/>
  </r>
  <r>
    <n v="10167"/>
    <n v="44"/>
    <n v="100"/>
    <n v="9"/>
    <n v="5924.16"/>
    <d v="2003-10-23T00:00:00"/>
    <s v="Cancelled"/>
    <n v="4"/>
    <n v="10"/>
    <n v="2003"/>
    <s v="Classic Cars"/>
    <n v="136"/>
    <s v="S10_4757"/>
    <s v="Scandinavian Gift Ideas"/>
    <s v="0695-34 6555"/>
    <s v="?kergatan 24"/>
    <m/>
    <s v="Boras"/>
    <m/>
    <s v="S-844 67"/>
    <s v="Sweden"/>
    <s v="EMEA"/>
    <s v="Larsson"/>
    <s v="Maria"/>
    <s v="Medium"/>
    <s v=""/>
    <x v="4"/>
  </r>
  <r>
    <n v="10178"/>
    <n v="24"/>
    <n v="100"/>
    <n v="12"/>
    <n v="3492.48"/>
    <d v="2003-11-08T00:00:00"/>
    <s v="Shipped"/>
    <n v="4"/>
    <n v="11"/>
    <n v="2003"/>
    <s v="Classic Cars"/>
    <n v="136"/>
    <s v="S10_4757"/>
    <s v="Alpha Cognac"/>
    <s v="61.77.6555"/>
    <s v="1 rue Alsace-Lorraine"/>
    <m/>
    <s v="Toulouse"/>
    <m/>
    <n v="31000"/>
    <s v="France"/>
    <s v="EMEA"/>
    <s v="Roulet"/>
    <s v="Annette"/>
    <s v="Medium"/>
    <s v=""/>
    <x v="5"/>
  </r>
  <r>
    <n v="10186"/>
    <n v="26"/>
    <n v="100"/>
    <n v="9"/>
    <n v="3854.24"/>
    <d v="2003-11-14T00:00:00"/>
    <s v="Shipped"/>
    <n v="4"/>
    <n v="11"/>
    <n v="2003"/>
    <s v="Classic Cars"/>
    <n v="136"/>
    <s v="S10_4757"/>
    <s v="Double Decker Gift Stores, Ltd"/>
    <s v="(171) 555-7555"/>
    <s v="120 Hanover Sq."/>
    <m/>
    <s v="London"/>
    <m/>
    <s v="WA1 1DP"/>
    <s v="UK"/>
    <s v="EMEA"/>
    <s v="Hardy"/>
    <s v="Thomas"/>
    <s v="Medium"/>
    <s v=""/>
    <x v="5"/>
  </r>
  <r>
    <n v="10197"/>
    <n v="45"/>
    <n v="100"/>
    <n v="6"/>
    <n v="5324.4"/>
    <d v="2003-11-26T00:00:00"/>
    <s v="Shipped"/>
    <n v="4"/>
    <n v="11"/>
    <n v="2003"/>
    <s v="Classic Cars"/>
    <n v="136"/>
    <s v="S10_4757"/>
    <s v="Enaco Distributors"/>
    <s v="(93) 203 4555"/>
    <s v="Rambla de Catalu¤a, 23"/>
    <m/>
    <s v="Barcelona"/>
    <m/>
    <n v="8022"/>
    <s v="Spain"/>
    <s v="EMEA"/>
    <s v="Saavedra"/>
    <s v="Eduardo"/>
    <s v="Medium"/>
    <s v=""/>
    <x v="5"/>
  </r>
  <r>
    <n v="10209"/>
    <n v="39"/>
    <n v="100"/>
    <n v="8"/>
    <n v="5197.92"/>
    <d v="2004-01-09T00:00:00"/>
    <s v="Shipped"/>
    <n v="1"/>
    <n v="1"/>
    <n v="2004"/>
    <s v="Classic Cars"/>
    <n v="136"/>
    <s v="S10_4757"/>
    <s v="Men 'R' US Retailers, Ltd."/>
    <n v="2155554369"/>
    <s v="6047 Douglas Av."/>
    <m/>
    <s v="Los Angeles"/>
    <s v="CA"/>
    <m/>
    <s v="USA"/>
    <s v="NA"/>
    <s v="Chandler"/>
    <s v="Michael"/>
    <s v="Medium"/>
    <s v=""/>
    <x v="7"/>
  </r>
  <r>
    <n v="10222"/>
    <n v="49"/>
    <n v="100"/>
    <n v="12"/>
    <n v="5997.6"/>
    <d v="2004-02-19T00:00:00"/>
    <s v="Shipped"/>
    <n v="1"/>
    <n v="2"/>
    <n v="2004"/>
    <s v="Classic Cars"/>
    <n v="136"/>
    <s v="S10_4757"/>
    <s v="Collectable Mini Designs Co."/>
    <n v="7605558146"/>
    <s v="361 Furth Circle"/>
    <m/>
    <s v="San Diego"/>
    <s v="CA"/>
    <n v="91217"/>
    <s v="USA"/>
    <s v="NA"/>
    <s v="Thompson"/>
    <s v="Valarie"/>
    <s v="Medium"/>
    <s v=""/>
    <x v="0"/>
  </r>
  <r>
    <n v="10248"/>
    <n v="20"/>
    <n v="100"/>
    <n v="3"/>
    <n v="2910.4"/>
    <d v="2004-05-07T00:00:00"/>
    <s v="Cancelled"/>
    <n v="2"/>
    <n v="5"/>
    <n v="2004"/>
    <s v="Classic Cars"/>
    <n v="136"/>
    <s v="S10_4757"/>
    <s v="Land of Toys Inc."/>
    <n v="2125557818"/>
    <s v="897 Long Airport Avenue"/>
    <m/>
    <s v="NYC"/>
    <s v="NY"/>
    <n v="10022"/>
    <s v="USA"/>
    <s v="NA"/>
    <s v="Yu"/>
    <s v="Kwai"/>
    <s v="Small"/>
    <s v=""/>
    <x v="1"/>
  </r>
  <r>
    <n v="10261"/>
    <n v="27"/>
    <n v="100"/>
    <n v="1"/>
    <n v="3378.24"/>
    <d v="2004-06-17T00:00:00"/>
    <s v="Shipped"/>
    <n v="2"/>
    <n v="6"/>
    <n v="2004"/>
    <s v="Classic Cars"/>
    <n v="136"/>
    <s v="S10_4757"/>
    <s v="Quebec Home Shopping Network"/>
    <s v="(514) 555-8054"/>
    <s v="43 rue St. Laurent"/>
    <m/>
    <s v="Montreal"/>
    <s v="Quebec"/>
    <s v="H1J 1C3"/>
    <s v="Canada"/>
    <s v="NA"/>
    <s v="Fresnisre"/>
    <s v="Jean"/>
    <s v="Medium"/>
    <s v=""/>
    <x v="9"/>
  </r>
  <r>
    <n v="10273"/>
    <n v="30"/>
    <n v="100"/>
    <n v="4"/>
    <n v="3508.8"/>
    <d v="2004-07-21T00:00:00"/>
    <s v="Shipped"/>
    <n v="3"/>
    <n v="7"/>
    <n v="2004"/>
    <s v="Classic Cars"/>
    <n v="136"/>
    <s v="S10_4757"/>
    <s v="Petit Auto"/>
    <s v="(02) 5554 67"/>
    <s v="Rue Joseph-Bens 532"/>
    <m/>
    <s v="Bruxelles"/>
    <m/>
    <s v="B-1180"/>
    <s v="Belgium"/>
    <s v="EMEA"/>
    <s v="Dewey"/>
    <s v="Catherine"/>
    <s v="Medium"/>
    <s v=""/>
    <x v="2"/>
  </r>
  <r>
    <n v="10283"/>
    <n v="25"/>
    <n v="100"/>
    <n v="6"/>
    <n v="2992"/>
    <d v="2004-08-20T00:00:00"/>
    <s v="Shipped"/>
    <n v="3"/>
    <n v="8"/>
    <n v="2004"/>
    <s v="Classic Cars"/>
    <n v="136"/>
    <s v="S10_4757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s v=""/>
    <x v="3"/>
  </r>
  <r>
    <n v="10295"/>
    <n v="24"/>
    <n v="100"/>
    <n v="1"/>
    <n v="3427.2"/>
    <d v="2004-09-10T00:00:00"/>
    <s v="Shipped"/>
    <n v="3"/>
    <n v="9"/>
    <n v="2004"/>
    <s v="Classic Cars"/>
    <n v="136"/>
    <s v="S10_4757"/>
    <s v="Gifts4AllAges.com"/>
    <n v="6175559555"/>
    <s v="8616 Spinnaker Dr."/>
    <m/>
    <s v="Boston"/>
    <s v="MA"/>
    <n v="51003"/>
    <s v="USA"/>
    <s v="NA"/>
    <s v="Yoshido"/>
    <s v="Juri"/>
    <s v="Medium"/>
    <s v=""/>
    <x v="10"/>
  </r>
  <r>
    <n v="10307"/>
    <n v="22"/>
    <n v="100"/>
    <n v="9"/>
    <n v="2692.8"/>
    <d v="2004-10-14T00:00:00"/>
    <s v="Shipped"/>
    <n v="4"/>
    <n v="10"/>
    <n v="2004"/>
    <s v="Classic Cars"/>
    <n v="136"/>
    <s v="S10_4757"/>
    <s v="Classic Gift Ideas, Inc"/>
    <n v="2155554695"/>
    <s v="782 First Street"/>
    <m/>
    <s v="Philadelphia"/>
    <s v="PA"/>
    <n v="71270"/>
    <s v="USA"/>
    <s v="NA"/>
    <s v="Cervantes"/>
    <s v="Francisca"/>
    <s v="Small"/>
    <s v=""/>
    <x v="4"/>
  </r>
  <r>
    <n v="10316"/>
    <n v="33"/>
    <n v="100"/>
    <n v="17"/>
    <n v="4128.96"/>
    <d v="2004-11-01T00:00:00"/>
    <s v="Shipped"/>
    <n v="4"/>
    <n v="11"/>
    <n v="2004"/>
    <s v="Classic Cars"/>
    <n v="136"/>
    <s v="S10_4757"/>
    <s v="giftsbymail.co.uk"/>
    <s v="(198) 555-8888"/>
    <s v="Garden House Crowther Way"/>
    <m/>
    <s v="Cowes"/>
    <s v="Isle of Wight"/>
    <s v="PO31 7PJ"/>
    <s v="UK"/>
    <s v="EMEA"/>
    <s v="Bennett"/>
    <s v="Helen"/>
    <s v="Medium"/>
    <s v=""/>
    <x v="5"/>
  </r>
  <r>
    <n v="10325"/>
    <n v="47"/>
    <n v="64.930000000000007"/>
    <n v="6"/>
    <n v="3051.71"/>
    <d v="2004-11-05T00:00:00"/>
    <s v="Shipped"/>
    <n v="4"/>
    <n v="11"/>
    <n v="2004"/>
    <s v="Classic Cars"/>
    <n v="136"/>
    <s v="S10_4757"/>
    <s v="Baane Mini Imports"/>
    <s v="07-98 9555"/>
    <s v="Erling Skakkes gate 78"/>
    <m/>
    <s v="Stavern"/>
    <m/>
    <n v="4110"/>
    <s v="Norway"/>
    <s v="EMEA"/>
    <s v="Bergulfsen"/>
    <s v="Jonas"/>
    <s v="Medium"/>
    <s v=""/>
    <x v="5"/>
  </r>
  <r>
    <n v="10337"/>
    <n v="25"/>
    <n v="48.05"/>
    <n v="8"/>
    <n v="1201.25"/>
    <d v="2004-11-21T00:00:00"/>
    <s v="Shipped"/>
    <n v="4"/>
    <n v="11"/>
    <n v="2004"/>
    <s v="Classic Cars"/>
    <n v="136"/>
    <s v="S10_4757"/>
    <s v="Classic Legends Inc."/>
    <n v="2125558493"/>
    <s v="5905 Pompton St."/>
    <s v="Suite 750"/>
    <s v="NYC"/>
    <s v="NY"/>
    <n v="10022"/>
    <s v="USA"/>
    <s v="NA"/>
    <s v="Hernandez"/>
    <s v="Maria"/>
    <s v="Small"/>
    <s v=""/>
    <x v="5"/>
  </r>
  <r>
    <n v="10350"/>
    <n v="26"/>
    <n v="75.47"/>
    <n v="5"/>
    <n v="1962.22"/>
    <d v="2004-12-02T00:00:00"/>
    <s v="Shipped"/>
    <n v="4"/>
    <n v="12"/>
    <n v="2004"/>
    <s v="Classic Cars"/>
    <n v="136"/>
    <s v="S10_4757"/>
    <s v="Euro Shopping Channel"/>
    <s v="(91) 555 94 44"/>
    <s v="C/ Moralzarzal, 86"/>
    <m/>
    <s v="Madrid"/>
    <m/>
    <n v="28034"/>
    <s v="Spain"/>
    <s v="EMEA"/>
    <s v="Freyre"/>
    <s v="Diego"/>
    <s v="Small"/>
    <s v=""/>
    <x v="6"/>
  </r>
  <r>
    <n v="10359"/>
    <n v="48"/>
    <n v="54.68"/>
    <n v="6"/>
    <n v="2624.64"/>
    <d v="2004-12-15T00:00:00"/>
    <s v="Shipped"/>
    <n v="4"/>
    <n v="12"/>
    <n v="2004"/>
    <s v="Classic Cars"/>
    <n v="136"/>
    <s v="S10_4757"/>
    <s v="Reims Collectables"/>
    <s v="26.47.1555"/>
    <s v="59 rue de l'Abbaye"/>
    <m/>
    <s v="Reims"/>
    <m/>
    <n v="51100"/>
    <s v="France"/>
    <s v="EMEA"/>
    <s v="Henriot"/>
    <s v="Paul"/>
    <s v="Small"/>
    <s v=""/>
    <x v="6"/>
  </r>
  <r>
    <n v="10373"/>
    <n v="39"/>
    <n v="100"/>
    <n v="3"/>
    <n v="4046.25"/>
    <d v="2005-01-31T00:00:00"/>
    <s v="Shipped"/>
    <n v="1"/>
    <n v="1"/>
    <n v="2005"/>
    <s v="Classic Cars"/>
    <n v="136"/>
    <s v="S10_4757"/>
    <s v="Oulu Toy Supplies, Inc."/>
    <s v="981-443655"/>
    <s v="Torikatu 38"/>
    <m/>
    <s v="Oulu"/>
    <m/>
    <n v="90110"/>
    <s v="Finland"/>
    <s v="EMEA"/>
    <s v="Koskitalo"/>
    <s v="Pirkko"/>
    <s v="Medium"/>
    <s v=""/>
    <x v="7"/>
  </r>
  <r>
    <n v="10384"/>
    <n v="34"/>
    <n v="100"/>
    <n v="4"/>
    <n v="4846.7"/>
    <d v="2005-02-23T00:00:00"/>
    <s v="Shipped"/>
    <n v="1"/>
    <n v="2"/>
    <n v="2005"/>
    <s v="Classic Cars"/>
    <n v="136"/>
    <s v="S10_4757"/>
    <s v="Corporate Gift Ideas Co."/>
    <n v="6505551386"/>
    <s v="7734 Strong St."/>
    <m/>
    <s v="San Francisco"/>
    <s v="CA"/>
    <m/>
    <s v="USA"/>
    <s v="NA"/>
    <s v="Brown"/>
    <s v="Julie"/>
    <s v="Medium"/>
    <s v=""/>
    <x v="0"/>
  </r>
  <r>
    <n v="10395"/>
    <n v="32"/>
    <n v="100"/>
    <n v="2"/>
    <n v="3370.56"/>
    <d v="2005-03-17T00:00:00"/>
    <s v="Shipped"/>
    <n v="1"/>
    <n v="3"/>
    <n v="2005"/>
    <s v="Classic Cars"/>
    <n v="136"/>
    <s v="S10_4757"/>
    <s v="Lyon Souveniers"/>
    <s v="+33 1 46 62 7555"/>
    <s v="27 rue du Colonel Pierre Avia"/>
    <m/>
    <s v="Paris"/>
    <m/>
    <n v="75508"/>
    <s v="France"/>
    <s v="EMEA"/>
    <s v="Da Cunha"/>
    <s v="Daniel"/>
    <s v="Medium"/>
    <s v=""/>
    <x v="11"/>
  </r>
  <r>
    <n v="10400"/>
    <n v="64"/>
    <n v="100"/>
    <n v="9"/>
    <n v="9661.44"/>
    <d v="2005-04-01T00:00:00"/>
    <s v="Shipped"/>
    <n v="2"/>
    <n v="4"/>
    <n v="2005"/>
    <s v="Classic Cars"/>
    <n v="136"/>
    <s v="S10_4757"/>
    <s v="The Sharp Gifts Warehouse"/>
    <n v="4085553659"/>
    <s v="3086 Ingle Ln."/>
    <m/>
    <s v="San Jose"/>
    <s v="CA"/>
    <n v="94217"/>
    <s v="USA"/>
    <s v="NA"/>
    <s v="Frick"/>
    <s v="Sue"/>
    <s v="Large"/>
    <s v=""/>
    <x v="8"/>
  </r>
  <r>
    <n v="10414"/>
    <n v="19"/>
    <n v="100"/>
    <n v="3"/>
    <n v="2764.88"/>
    <d v="2005-05-06T00:00:00"/>
    <s v="On Hold"/>
    <n v="2"/>
    <n v="5"/>
    <n v="2005"/>
    <s v="Classic Cars"/>
    <n v="136"/>
    <s v="S10_4757"/>
    <s v="Gifts4AllAges.com"/>
    <n v="6175559555"/>
    <s v="8616 Spinnaker Dr."/>
    <m/>
    <s v="Boston"/>
    <s v="MA"/>
    <n v="51003"/>
    <s v="USA"/>
    <s v="NA"/>
    <s v="Yoshido"/>
    <s v="Juri"/>
    <s v="Small"/>
    <s v=""/>
    <x v="1"/>
  </r>
  <r>
    <n v="10114"/>
    <n v="31"/>
    <n v="100"/>
    <n v="8"/>
    <n v="4305.28"/>
    <d v="2003-04-01T00:00:00"/>
    <s v="Shipped"/>
    <n v="2"/>
    <n v="4"/>
    <n v="2003"/>
    <s v="Classic Cars"/>
    <n v="147"/>
    <s v="S10_4962"/>
    <s v="La Corne D'abondance, Co."/>
    <s v="(1) 42.34.2555"/>
    <s v="265, boulevard Charonne"/>
    <m/>
    <s v="Paris"/>
    <m/>
    <n v="75012"/>
    <s v="France"/>
    <s v="EMEA"/>
    <s v="Bertrand"/>
    <s v="Marie"/>
    <s v="Medium"/>
    <s v=""/>
    <x v="8"/>
  </r>
  <r>
    <n v="10164"/>
    <n v="21"/>
    <n v="100"/>
    <n v="2"/>
    <n v="3536.82"/>
    <d v="2003-10-21T00:00:00"/>
    <s v="Resolved"/>
    <n v="4"/>
    <n v="10"/>
    <n v="2003"/>
    <s v="Classic Cars"/>
    <n v="147"/>
    <s v="S10_4962"/>
    <s v="Mini Auto Werke"/>
    <s v="7675-3555"/>
    <s v="Kirchgasse 6"/>
    <m/>
    <s v="Graz"/>
    <m/>
    <n v="8010"/>
    <s v="Austria"/>
    <s v="EMEA"/>
    <s v="Mendel"/>
    <s v="Roland"/>
    <s v="Medium"/>
    <s v=""/>
    <x v="4"/>
  </r>
  <r>
    <n v="10175"/>
    <n v="33"/>
    <n v="100"/>
    <n v="9"/>
    <n v="5362.83"/>
    <d v="2003-11-06T00:00:00"/>
    <s v="Shipped"/>
    <n v="4"/>
    <n v="11"/>
    <n v="2003"/>
    <s v="Classic Cars"/>
    <n v="147"/>
    <s v="S10_4962"/>
    <s v="Stylish Desk Decors, Co."/>
    <s v="(171) 555-0297"/>
    <s v="35 King George"/>
    <m/>
    <s v="London"/>
    <m/>
    <s v="WX3 6FW"/>
    <s v="UK"/>
    <s v="EMEA"/>
    <s v="Brown"/>
    <s v="Ann"/>
    <s v="Medium"/>
    <s v=""/>
    <x v="5"/>
  </r>
  <r>
    <n v="10207"/>
    <n v="31"/>
    <n v="100"/>
    <n v="15"/>
    <n v="4076.19"/>
    <d v="2003-12-09T00:00:00"/>
    <s v="Shipped"/>
    <n v="4"/>
    <n v="12"/>
    <n v="2003"/>
    <s v="Classic Cars"/>
    <n v="147"/>
    <s v="S10_4962"/>
    <s v="Diecast Collectables"/>
    <n v="6175552555"/>
    <s v="6251 Ingle Ln."/>
    <m/>
    <s v="Boston"/>
    <s v="MA"/>
    <n v="51003"/>
    <s v="USA"/>
    <s v="NA"/>
    <s v="Franco"/>
    <s v="Valarie"/>
    <s v="Medium"/>
    <s v=""/>
    <x v="6"/>
  </r>
  <r>
    <n v="10217"/>
    <n v="48"/>
    <n v="100"/>
    <n v="4"/>
    <n v="7020.48"/>
    <d v="2004-02-04T00:00:00"/>
    <s v="Shipped"/>
    <n v="1"/>
    <n v="2"/>
    <n v="2004"/>
    <s v="Classic Cars"/>
    <n v="147"/>
    <s v="S10_496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Large"/>
    <s v=""/>
    <x v="0"/>
  </r>
  <r>
    <n v="10229"/>
    <n v="50"/>
    <n v="100"/>
    <n v="9"/>
    <n v="6426.5"/>
    <d v="2004-03-11T00:00:00"/>
    <s v="Shipped"/>
    <n v="1"/>
    <n v="3"/>
    <n v="2004"/>
    <s v="Classic Cars"/>
    <n v="147"/>
    <s v="S10_4962"/>
    <s v="Mini Gifts Distributors Ltd."/>
    <n v="4155551450"/>
    <s v="5677 Strong St."/>
    <m/>
    <s v="San Rafael"/>
    <s v="CA"/>
    <n v="97562"/>
    <s v="USA"/>
    <s v="NA"/>
    <s v="Nelson"/>
    <s v="Valarie"/>
    <s v="Medium"/>
    <s v=""/>
    <x v="11"/>
  </r>
  <r>
    <n v="10259"/>
    <n v="26"/>
    <n v="100"/>
    <n v="12"/>
    <n v="4033.38"/>
    <d v="2004-06-15T00:00:00"/>
    <s v="Shipped"/>
    <n v="2"/>
    <n v="6"/>
    <n v="2004"/>
    <s v="Classic Cars"/>
    <n v="147"/>
    <s v="S10_496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  <s v=""/>
    <x v="9"/>
  </r>
  <r>
    <n v="10281"/>
    <n v="44"/>
    <n v="100"/>
    <n v="9"/>
    <n v="7020.64"/>
    <d v="2004-08-19T00:00:00"/>
    <s v="Shipped"/>
    <n v="3"/>
    <n v="8"/>
    <n v="2004"/>
    <s v="Classic Cars"/>
    <n v="147"/>
    <s v="S10_4962"/>
    <s v="Diecast Classics Inc."/>
    <n v="2155551555"/>
    <s v="7586 Pompton St."/>
    <m/>
    <s v="Allentown"/>
    <s v="PA"/>
    <n v="70267"/>
    <s v="USA"/>
    <s v="NA"/>
    <s v="Yu"/>
    <s v="Kyung"/>
    <s v="Large"/>
    <s v=""/>
    <x v="3"/>
  </r>
  <r>
    <n v="10305"/>
    <n v="38"/>
    <n v="100"/>
    <n v="13"/>
    <n v="6680.78"/>
    <d v="2004-10-13T00:00:00"/>
    <s v="Shipped"/>
    <n v="4"/>
    <n v="10"/>
    <n v="2004"/>
    <s v="Classic Cars"/>
    <n v="147"/>
    <s v="S10_4962"/>
    <s v="Marta's Replicas Co."/>
    <n v="6175558555"/>
    <s v="39323 Spinnaker Dr."/>
    <m/>
    <s v="Cambridge"/>
    <s v="MA"/>
    <n v="51247"/>
    <s v="USA"/>
    <s v="NA"/>
    <s v="Hernandez"/>
    <s v="Marta"/>
    <s v="Medium"/>
    <s v=""/>
    <x v="4"/>
  </r>
  <r>
    <n v="10313"/>
    <n v="40"/>
    <n v="100"/>
    <n v="7"/>
    <n v="6678"/>
    <d v="2004-10-22T00:00:00"/>
    <s v="Shipped"/>
    <n v="4"/>
    <n v="10"/>
    <n v="2004"/>
    <s v="Classic Cars"/>
    <n v="147"/>
    <s v="S10_4962"/>
    <s v="Canadian Gift Exchange Network"/>
    <s v="(604) 555-3392"/>
    <s v="1900 Oak St."/>
    <m/>
    <s v="Vancouver"/>
    <s v="BC"/>
    <s v="V3F 2K1"/>
    <s v="Canada"/>
    <s v="NA"/>
    <s v="Tannamuri"/>
    <s v="Yoshi"/>
    <s v="Medium"/>
    <s v=""/>
    <x v="4"/>
  </r>
  <r>
    <n v="10334"/>
    <n v="26"/>
    <n v="100"/>
    <n v="2"/>
    <n v="3188.12"/>
    <d v="2004-11-19T00:00:00"/>
    <s v="On Hold"/>
    <n v="4"/>
    <n v="11"/>
    <n v="2004"/>
    <s v="Classic Cars"/>
    <n v="147"/>
    <s v="S10_4962"/>
    <s v="Volvo Model Replicas, Co"/>
    <s v="0921-12 3555"/>
    <s v="Berguvsv„gen  8"/>
    <m/>
    <s v="Lule"/>
    <m/>
    <s v="S-958 22"/>
    <s v="Sweden"/>
    <s v="EMEA"/>
    <s v="Berglund"/>
    <s v="Christina"/>
    <s v="Medium"/>
    <s v=""/>
    <x v="5"/>
  </r>
  <r>
    <n v="10370"/>
    <n v="35"/>
    <n v="65.63"/>
    <n v="4"/>
    <n v="2297.0500000000002"/>
    <d v="2005-01-20T00:00:00"/>
    <s v="Shipped"/>
    <n v="1"/>
    <n v="1"/>
    <n v="2005"/>
    <s v="Classic Cars"/>
    <n v="147"/>
    <s v="S10_496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s v=""/>
    <x v="7"/>
  </r>
  <r>
    <n v="10425"/>
    <n v="38"/>
    <n v="100"/>
    <n v="12"/>
    <n v="5894.94"/>
    <d v="2005-05-31T00:00:00"/>
    <s v="In Process"/>
    <n v="2"/>
    <n v="5"/>
    <n v="2005"/>
    <s v="Classic Cars"/>
    <n v="147"/>
    <s v="S10_4962"/>
    <s v="La Rochelle Gifts"/>
    <s v="40.67.8555"/>
    <s v="67, rue des Cinquante Otages"/>
    <m/>
    <s v="Nantes"/>
    <m/>
    <n v="44000"/>
    <s v="France"/>
    <s v="EMEA"/>
    <s v="Labrune"/>
    <s v="Janine"/>
    <s v="Medium"/>
    <s v=""/>
    <x v="1"/>
  </r>
  <r>
    <n v="10108"/>
    <n v="33"/>
    <n v="100"/>
    <n v="6"/>
    <n v="5265.15"/>
    <d v="2003-03-03T00:00:00"/>
    <s v="Shipped"/>
    <n v="1"/>
    <n v="3"/>
    <n v="2003"/>
    <s v="Classic Cars"/>
    <n v="194"/>
    <s v="S12_1099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  <s v=""/>
    <x v="11"/>
  </r>
  <r>
    <n v="10122"/>
    <n v="42"/>
    <n v="100"/>
    <n v="10"/>
    <n v="7599.9"/>
    <d v="2003-05-08T00:00:00"/>
    <s v="Shipped"/>
    <n v="2"/>
    <n v="5"/>
    <n v="2003"/>
    <s v="Classic Cars"/>
    <n v="194"/>
    <s v="S12_1099"/>
    <s v="Marseille Mini Autos"/>
    <s v="91.24.4555"/>
    <s v="12, rue des Bouchers"/>
    <m/>
    <s v="Marseille"/>
    <m/>
    <n v="13008"/>
    <s v="France"/>
    <s v="EMEA"/>
    <s v="Lebihan"/>
    <s v="Laurence"/>
    <s v="Large"/>
    <s v=""/>
    <x v="1"/>
  </r>
  <r>
    <n v="10135"/>
    <n v="42"/>
    <n v="100"/>
    <n v="7"/>
    <n v="8008.56"/>
    <d v="2003-07-02T00:00:00"/>
    <s v="Shipped"/>
    <n v="3"/>
    <n v="7"/>
    <n v="2003"/>
    <s v="Classic Cars"/>
    <n v="194"/>
    <s v="S12_1099"/>
    <s v="Mini Gifts Distributors Ltd."/>
    <n v="4155551450"/>
    <s v="5677 Strong St."/>
    <m/>
    <s v="San Rafael"/>
    <s v="CA"/>
    <n v="97562"/>
    <s v="USA"/>
    <s v="NA"/>
    <s v="Nelson"/>
    <s v="Valarie"/>
    <s v="Large"/>
    <s v=""/>
    <x v="2"/>
  </r>
  <r>
    <n v="10147"/>
    <n v="48"/>
    <n v="100"/>
    <n v="7"/>
    <n v="9245.76"/>
    <d v="2003-09-05T00:00:00"/>
    <s v="Shipped"/>
    <n v="3"/>
    <n v="9"/>
    <n v="2003"/>
    <s v="Classic Cars"/>
    <n v="194"/>
    <s v="S12_1099"/>
    <s v="Collectables For Less Inc."/>
    <n v="6175558555"/>
    <s v="7825 Douglas Av."/>
    <m/>
    <s v="Brickhaven"/>
    <s v="MA"/>
    <n v="58339"/>
    <s v="USA"/>
    <s v="NA"/>
    <s v="Nelson"/>
    <s v="Allen"/>
    <s v="Large"/>
    <s v=""/>
    <x v="10"/>
  </r>
  <r>
    <n v="10169"/>
    <n v="30"/>
    <n v="100"/>
    <n v="2"/>
    <n v="5019.8999999999996"/>
    <d v="2003-11-04T00:00:00"/>
    <s v="Shipped"/>
    <n v="4"/>
    <n v="11"/>
    <n v="2003"/>
    <s v="Classic Cars"/>
    <n v="194"/>
    <s v="S12_1099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s v=""/>
    <x v="5"/>
  </r>
  <r>
    <n v="10181"/>
    <n v="27"/>
    <n v="100"/>
    <n v="14"/>
    <n v="5411.07"/>
    <d v="2003-11-12T00:00:00"/>
    <s v="Shipped"/>
    <n v="4"/>
    <n v="11"/>
    <n v="2003"/>
    <s v="Classic Cars"/>
    <n v="194"/>
    <s v="S12_1099"/>
    <s v="Herkku Gifts"/>
    <s v="+47 2267 3215"/>
    <s v="Drammen 121, PR 744 Sentrum"/>
    <m/>
    <s v="Bergen"/>
    <m/>
    <s v="N 5804"/>
    <s v="Norway"/>
    <s v="EMEA"/>
    <s v="Oeztan"/>
    <s v="Veysel"/>
    <s v="Medium"/>
    <s v=""/>
    <x v="5"/>
  </r>
  <r>
    <n v="10191"/>
    <n v="21"/>
    <n v="100"/>
    <n v="3"/>
    <n v="3840.9"/>
    <d v="2003-11-20T00:00:00"/>
    <s v="Shipped"/>
    <n v="4"/>
    <n v="11"/>
    <n v="2003"/>
    <s v="Classic Cars"/>
    <n v="194"/>
    <s v="S12_1099"/>
    <s v="Toms Spezialitten, Ltd"/>
    <s v="0221-5554327"/>
    <s v="Mehrheimerstr. 369"/>
    <m/>
    <s v="Koln"/>
    <m/>
    <n v="50739"/>
    <s v="Germany"/>
    <s v="EMEA"/>
    <s v="Pfalzheim"/>
    <s v="Henriette"/>
    <s v="Medium"/>
    <s v=""/>
    <x v="5"/>
  </r>
  <r>
    <n v="10203"/>
    <n v="20"/>
    <n v="100"/>
    <n v="8"/>
    <n v="3930.4"/>
    <d v="2003-12-02T00:00:00"/>
    <s v="Shipped"/>
    <n v="4"/>
    <n v="12"/>
    <n v="2003"/>
    <s v="Classic Cars"/>
    <n v="194"/>
    <s v="S12_1099"/>
    <s v="Euro Shopping Channel"/>
    <s v="(91) 555 94 44"/>
    <s v="C/ Moralzarzal, 86"/>
    <m/>
    <s v="Madrid"/>
    <m/>
    <n v="28034"/>
    <s v="Spain"/>
    <s v="EMEA"/>
    <s v="Freyre"/>
    <s v="Diego"/>
    <s v="Medium"/>
    <s v=""/>
    <x v="6"/>
  </r>
  <r>
    <n v="10225"/>
    <n v="27"/>
    <n v="100"/>
    <n v="9"/>
    <n v="4517.91"/>
    <d v="2004-02-22T00:00:00"/>
    <s v="Shipped"/>
    <n v="1"/>
    <n v="2"/>
    <n v="2004"/>
    <s v="Classic Cars"/>
    <n v="194"/>
    <s v="S12_1099"/>
    <s v="Vida Sport, Ltd"/>
    <s v="0897-034555"/>
    <s v="Grenzacherweg 237"/>
    <m/>
    <s v="Gensve"/>
    <m/>
    <n v="1203"/>
    <s v="Switzerland"/>
    <s v="EMEA"/>
    <s v="Holz"/>
    <s v="Michael"/>
    <s v="Medium"/>
    <s v=""/>
    <x v="0"/>
  </r>
  <r>
    <n v="10238"/>
    <n v="28"/>
    <n v="100"/>
    <n v="3"/>
    <n v="5774.72"/>
    <d v="2004-04-09T00:00:00"/>
    <s v="Shipped"/>
    <n v="2"/>
    <n v="4"/>
    <n v="2004"/>
    <s v="Classic Cars"/>
    <n v="194"/>
    <s v="S12_1099"/>
    <s v="Danish Wholesale Imports"/>
    <s v="31 12 3555"/>
    <s v="Vinb'ltet 34"/>
    <m/>
    <s v="Kobenhavn"/>
    <m/>
    <n v="1734"/>
    <s v="Denmark"/>
    <s v="EMEA"/>
    <s v="Petersen"/>
    <s v="Jytte"/>
    <s v="Medium"/>
    <s v=""/>
    <x v="8"/>
  </r>
  <r>
    <n v="10253"/>
    <n v="24"/>
    <n v="100"/>
    <n v="13"/>
    <n v="3922.56"/>
    <d v="2004-06-01T00:00:00"/>
    <s v="Cancelled"/>
    <n v="2"/>
    <n v="6"/>
    <n v="2004"/>
    <s v="Classic Cars"/>
    <n v="194"/>
    <s v="S12_1099"/>
    <s v="UK Collectables, Ltd."/>
    <s v="(171) 555-2282"/>
    <s v="Berkeley Gardens 12  Brewery"/>
    <m/>
    <s v="Liverpool"/>
    <m/>
    <s v="WX1 6LT"/>
    <s v="UK"/>
    <s v="EMEA"/>
    <s v="Devon"/>
    <s v="Elizabeth"/>
    <s v="Medium"/>
    <s v=""/>
    <x v="9"/>
  </r>
  <r>
    <n v="10266"/>
    <n v="44"/>
    <n v="100"/>
    <n v="14"/>
    <n v="9160.36"/>
    <d v="2004-07-06T00:00:00"/>
    <s v="Shipped"/>
    <n v="3"/>
    <n v="7"/>
    <n v="2004"/>
    <s v="Classic Cars"/>
    <n v="194"/>
    <s v="S12_1099"/>
    <s v="L'ordine Souveniers"/>
    <s v="0522-556555"/>
    <s v="Strada Provinciale 124"/>
    <m/>
    <s v="Reggio Emilia"/>
    <m/>
    <n v="42100"/>
    <s v="Italy"/>
    <s v="EMEA"/>
    <s v="Moroni"/>
    <s v="Maurizio"/>
    <s v="Large"/>
    <s v=""/>
    <x v="2"/>
  </r>
  <r>
    <n v="10276"/>
    <n v="50"/>
    <n v="100"/>
    <n v="3"/>
    <n v="9631"/>
    <d v="2004-08-02T00:00:00"/>
    <s v="Shipped"/>
    <n v="3"/>
    <n v="8"/>
    <n v="2004"/>
    <s v="Classic Cars"/>
    <n v="194"/>
    <s v="S12_1099"/>
    <s v="Online Mini Collectables"/>
    <n v="6175557555"/>
    <s v="7635 Spinnaker Dr."/>
    <m/>
    <s v="Brickhaven"/>
    <s v="MA"/>
    <n v="58339"/>
    <s v="USA"/>
    <s v="NA"/>
    <s v="Barajas"/>
    <s v="Miguel"/>
    <s v="Large"/>
    <s v=""/>
    <x v="3"/>
  </r>
  <r>
    <n v="10287"/>
    <n v="21"/>
    <n v="100"/>
    <n v="12"/>
    <n v="3432.24"/>
    <d v="2004-08-30T00:00:00"/>
    <s v="Shipped"/>
    <n v="3"/>
    <n v="8"/>
    <n v="2004"/>
    <s v="Classic Cars"/>
    <n v="194"/>
    <s v="S12_1099"/>
    <s v="Vida Sport, Ltd"/>
    <s v="0897-034555"/>
    <s v="Grenzacherweg 237"/>
    <m/>
    <s v="Gensve"/>
    <m/>
    <n v="1203"/>
    <s v="Switzerland"/>
    <s v="EMEA"/>
    <s v="Holz"/>
    <s v="Michael"/>
    <s v="Medium"/>
    <s v=""/>
    <x v="3"/>
  </r>
  <r>
    <n v="10300"/>
    <n v="33"/>
    <n v="100"/>
    <n v="5"/>
    <n v="5521.89"/>
    <d v="2003-10-04T00:00:00"/>
    <s v="Shipped"/>
    <n v="4"/>
    <n v="10"/>
    <n v="2003"/>
    <s v="Classic Cars"/>
    <n v="194"/>
    <s v="S12_1099"/>
    <s v="Blauer See Auto, Co."/>
    <s v="+49 69 66 90 2555"/>
    <s v="Lyonerstr. 34"/>
    <m/>
    <s v="Frankfurt"/>
    <m/>
    <n v="60528"/>
    <s v="Germany"/>
    <s v="EMEA"/>
    <s v="Keitel"/>
    <s v="Roland"/>
    <s v="Medium"/>
    <s v=""/>
    <x v="4"/>
  </r>
  <r>
    <n v="10310"/>
    <n v="33"/>
    <n v="100"/>
    <n v="10"/>
    <n v="6934.62"/>
    <d v="2004-10-16T00:00:00"/>
    <s v="Shipped"/>
    <n v="4"/>
    <n v="10"/>
    <n v="2004"/>
    <s v="Classic Cars"/>
    <n v="194"/>
    <s v="S12_1099"/>
    <s v="Toms Spezialitten, Ltd"/>
    <s v="0221-5554327"/>
    <s v="Mehrheimerstr. 369"/>
    <m/>
    <s v="Koln"/>
    <m/>
    <n v="50739"/>
    <s v="Germany"/>
    <s v="EMEA"/>
    <s v="Pfalzheim"/>
    <s v="Henriette"/>
    <s v="Medium"/>
    <s v=""/>
    <x v="4"/>
  </r>
  <r>
    <n v="10320"/>
    <n v="31"/>
    <n v="100"/>
    <n v="3"/>
    <n v="6876.11"/>
    <d v="2004-11-03T00:00:00"/>
    <s v="Shipped"/>
    <n v="4"/>
    <n v="11"/>
    <n v="2004"/>
    <s v="Classic Cars"/>
    <n v="194"/>
    <s v="S12_1099"/>
    <s v="Volvo Model Replicas, Co"/>
    <s v="0921-12 3555"/>
    <s v="Berguvsv„gen  8"/>
    <m/>
    <s v="Lule"/>
    <m/>
    <s v="S-958 22"/>
    <s v="Sweden"/>
    <s v="EMEA"/>
    <s v="Berglund"/>
    <s v="Christina"/>
    <s v="Medium"/>
    <s v=""/>
    <x v="5"/>
  </r>
  <r>
    <n v="10363"/>
    <n v="33"/>
    <n v="85.39"/>
    <n v="3"/>
    <n v="2817.87"/>
    <d v="2005-01-06T00:00:00"/>
    <s v="Shipped"/>
    <n v="1"/>
    <n v="1"/>
    <n v="2005"/>
    <s v="Classic Cars"/>
    <n v="194"/>
    <s v="S12_1099"/>
    <s v="Suominen Souveniers"/>
    <s v="+358 9 8045 555"/>
    <s v="Software Engineering Center, SEC Oy"/>
    <m/>
    <s v="Espoo"/>
    <m/>
    <s v="FIN-02271"/>
    <s v="Finland"/>
    <s v="EMEA"/>
    <s v="Suominen"/>
    <s v="Kalle"/>
    <s v="Small"/>
    <s v=""/>
    <x v="7"/>
  </r>
  <r>
    <n v="10389"/>
    <n v="26"/>
    <n v="99.04"/>
    <n v="4"/>
    <n v="2575.04"/>
    <d v="2005-03-03T00:00:00"/>
    <s v="Shipped"/>
    <n v="1"/>
    <n v="3"/>
    <n v="2005"/>
    <s v="Classic Cars"/>
    <n v="194"/>
    <s v="S12_1099"/>
    <s v="Scandinavian Gift Ideas"/>
    <s v="0695-34 6555"/>
    <s v="?kergatan 24"/>
    <m/>
    <s v="Boras"/>
    <m/>
    <s v="S-844 67"/>
    <s v="Sweden"/>
    <s v="EMEA"/>
    <s v="Larsson"/>
    <s v="Maria"/>
    <s v="Small"/>
    <s v=""/>
    <x v="11"/>
  </r>
  <r>
    <n v="10419"/>
    <n v="12"/>
    <n v="100"/>
    <n v="13"/>
    <n v="1961.28"/>
    <d v="2005-05-17T00:00:00"/>
    <s v="Shipped"/>
    <n v="2"/>
    <n v="5"/>
    <n v="2005"/>
    <s v="Classic Cars"/>
    <n v="194"/>
    <s v="S12_1099"/>
    <s v="Salzburg Collectables"/>
    <s v="6562-9555"/>
    <s v="Geislweg 14"/>
    <m/>
    <s v="Salzburg"/>
    <m/>
    <n v="5020"/>
    <s v="Austria"/>
    <s v="EMEA"/>
    <s v="Pipps"/>
    <s v="Georg"/>
    <s v="Small"/>
    <s v=""/>
    <x v="1"/>
  </r>
  <r>
    <n v="10117"/>
    <n v="33"/>
    <n v="100"/>
    <n v="9"/>
    <n v="6034.38"/>
    <d v="2003-04-16T00:00:00"/>
    <s v="Shipped"/>
    <n v="2"/>
    <n v="4"/>
    <n v="2003"/>
    <s v="Classic Cars"/>
    <n v="207"/>
    <s v="S12_1108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s v=""/>
    <x v="8"/>
  </r>
  <r>
    <n v="10127"/>
    <n v="46"/>
    <n v="100"/>
    <n v="2"/>
    <n v="11279.2"/>
    <d v="2003-06-03T00:00:00"/>
    <s v="Shipped"/>
    <n v="2"/>
    <n v="6"/>
    <n v="2003"/>
    <s v="Classic Cars"/>
    <n v="207"/>
    <s v="S12_1108"/>
    <s v="Muscle Machine Inc"/>
    <n v="2125557413"/>
    <s v="4092 Furth Circle"/>
    <s v="Suite 400"/>
    <s v="NYC"/>
    <s v="NY"/>
    <n v="10022"/>
    <s v="USA"/>
    <s v="NA"/>
    <s v="Young"/>
    <s v="Jeff"/>
    <s v="Large"/>
    <s v=""/>
    <x v="9"/>
  </r>
  <r>
    <n v="10142"/>
    <n v="33"/>
    <n v="100"/>
    <n v="12"/>
    <n v="8023.29"/>
    <d v="2003-08-08T00:00:00"/>
    <s v="Shipped"/>
    <n v="3"/>
    <n v="8"/>
    <n v="2003"/>
    <s v="Classic Cars"/>
    <n v="207"/>
    <s v="S12_1108"/>
    <s v="Mini Gifts Distributors Ltd."/>
    <n v="4155551450"/>
    <s v="5677 Strong St."/>
    <m/>
    <s v="San Rafael"/>
    <s v="CA"/>
    <n v="97562"/>
    <s v="USA"/>
    <s v="NA"/>
    <s v="Nelson"/>
    <s v="Valarie"/>
    <s v="Large"/>
    <s v=""/>
    <x v="3"/>
  </r>
  <r>
    <n v="10153"/>
    <n v="20"/>
    <n v="100"/>
    <n v="11"/>
    <n v="4904"/>
    <d v="2003-09-28T00:00:00"/>
    <s v="Shipped"/>
    <n v="3"/>
    <n v="9"/>
    <n v="2003"/>
    <s v="Classic Cars"/>
    <n v="207"/>
    <s v="S12_1108"/>
    <s v="Euro Shopping Channel"/>
    <s v="(91) 555 94 44"/>
    <s v="C/ Moralzarzal, 86"/>
    <m/>
    <s v="Madrid"/>
    <m/>
    <n v="28034"/>
    <s v="Spain"/>
    <s v="EMEA"/>
    <s v="Freyre"/>
    <s v="Diego"/>
    <s v="Medium"/>
    <s v=""/>
    <x v="10"/>
  </r>
  <r>
    <n v="10165"/>
    <n v="44"/>
    <n v="100"/>
    <n v="3"/>
    <n v="8594.52"/>
    <d v="2003-10-22T00:00:00"/>
    <s v="Shipped"/>
    <n v="4"/>
    <n v="10"/>
    <n v="2003"/>
    <s v="Classic Cars"/>
    <n v="207"/>
    <s v="S12_1108"/>
    <s v="Dragon Souveniers, Ltd."/>
    <s v="+65 221 7555"/>
    <s v="Bronz Sok., Bronz Apt. 3/6 Tesvikiye"/>
    <m/>
    <s v="Singapore"/>
    <m/>
    <n v="79903"/>
    <s v="Singapore"/>
    <s v="Japan"/>
    <s v="Natividad"/>
    <s v="Eric"/>
    <s v="Large"/>
    <s v=""/>
    <x v="4"/>
  </r>
  <r>
    <n v="10176"/>
    <n v="33"/>
    <n v="100"/>
    <n v="2"/>
    <n v="7474.5"/>
    <d v="2003-11-06T00:00:00"/>
    <s v="Shipped"/>
    <n v="4"/>
    <n v="11"/>
    <n v="2003"/>
    <s v="Classic Cars"/>
    <n v="207"/>
    <s v="S12_1108"/>
    <s v="L'ordine Souveniers"/>
    <s v="0522-556555"/>
    <s v="Strada Provinciale 124"/>
    <m/>
    <s v="Reggio Emilia"/>
    <m/>
    <n v="42100"/>
    <s v="Italy"/>
    <s v="EMEA"/>
    <s v="Moroni"/>
    <s v="Maurizio"/>
    <s v="Large"/>
    <s v=""/>
    <x v="5"/>
  </r>
  <r>
    <n v="10185"/>
    <n v="21"/>
    <n v="100"/>
    <n v="13"/>
    <n v="3883.74"/>
    <d v="2003-11-14T00:00:00"/>
    <s v="Shipped"/>
    <n v="4"/>
    <n v="11"/>
    <n v="2003"/>
    <s v="Classic Cars"/>
    <n v="207"/>
    <s v="S12_1108"/>
    <s v="Mini Creations Ltd."/>
    <n v="5085559555"/>
    <s v="4575 Hillside Dr."/>
    <m/>
    <s v="New Bedford"/>
    <s v="MA"/>
    <n v="50553"/>
    <s v="USA"/>
    <s v="NA"/>
    <s v="Tam"/>
    <s v="Wing C"/>
    <s v="Medium"/>
    <s v=""/>
    <x v="5"/>
  </r>
  <r>
    <n v="10196"/>
    <n v="47"/>
    <n v="100"/>
    <n v="5"/>
    <n v="8887.7000000000007"/>
    <d v="2003-11-26T00:00:00"/>
    <s v="Shipped"/>
    <n v="4"/>
    <n v="11"/>
    <n v="2003"/>
    <s v="Classic Cars"/>
    <n v="207"/>
    <s v="S12_1108"/>
    <s v="Super Scale Inc."/>
    <n v="2035559545"/>
    <s v="567 North Pendale Street"/>
    <m/>
    <s v="New Haven"/>
    <s v="CT"/>
    <n v="97823"/>
    <s v="USA"/>
    <s v="NA"/>
    <s v="Murphy"/>
    <s v="Leslie"/>
    <s v="Large"/>
    <s v=""/>
    <x v="5"/>
  </r>
  <r>
    <n v="10208"/>
    <n v="46"/>
    <n v="100"/>
    <n v="13"/>
    <n v="8602.92"/>
    <d v="2004-01-02T00:00:00"/>
    <s v="Shipped"/>
    <n v="1"/>
    <n v="1"/>
    <n v="2004"/>
    <s v="Classic Cars"/>
    <n v="207"/>
    <s v="S12_1108"/>
    <s v="Saveley &amp; Henriot, Co."/>
    <s v="78.32.5555"/>
    <s v="2, rue du Commerce"/>
    <m/>
    <s v="Lyon"/>
    <m/>
    <n v="69004"/>
    <s v="France"/>
    <s v="EMEA"/>
    <s v="Saveley"/>
    <s v="Mary"/>
    <s v="Large"/>
    <s v=""/>
    <x v="7"/>
  </r>
  <r>
    <n v="10220"/>
    <n v="32"/>
    <n v="100"/>
    <n v="2"/>
    <n v="7181.44"/>
    <d v="2004-02-12T00:00:00"/>
    <s v="Shipped"/>
    <n v="1"/>
    <n v="2"/>
    <n v="2004"/>
    <s v="Classic Cars"/>
    <n v="207"/>
    <s v="S12_1108"/>
    <s v="Clover Collections, Co."/>
    <s v="+353 1862 1555"/>
    <s v="25 Maiden Lane"/>
    <s v="Floor No. 4"/>
    <s v="Dublin"/>
    <m/>
    <n v="2"/>
    <s v="Ireland"/>
    <s v="EMEA"/>
    <s v="Cassidy"/>
    <s v="Dean"/>
    <s v="Large"/>
    <s v=""/>
    <x v="0"/>
  </r>
  <r>
    <n v="10231"/>
    <n v="42"/>
    <n v="100"/>
    <n v="2"/>
    <n v="8378.58"/>
    <d v="2004-03-19T00:00:00"/>
    <s v="Shipped"/>
    <n v="1"/>
    <n v="3"/>
    <n v="2004"/>
    <s v="Classic Cars"/>
    <n v="207"/>
    <s v="S12_1108"/>
    <s v="CAF Imports"/>
    <s v="+34 913 728 555"/>
    <s v="Merchants House, 27-30 Merchant's Quay"/>
    <m/>
    <s v="Madrid"/>
    <m/>
    <n v="28023"/>
    <s v="Spain"/>
    <s v="EMEA"/>
    <s v="Fernandez"/>
    <s v="Jesus"/>
    <s v="Large"/>
    <s v=""/>
    <x v="11"/>
  </r>
  <r>
    <n v="10247"/>
    <n v="44"/>
    <n v="100"/>
    <n v="2"/>
    <n v="10606.2"/>
    <d v="2004-05-05T00:00:00"/>
    <s v="Shipped"/>
    <n v="2"/>
    <n v="5"/>
    <n v="2004"/>
    <s v="Classic Cars"/>
    <n v="207"/>
    <s v="S12_1108"/>
    <s v="Suominen Souveniers"/>
    <s v="+358 9 8045 555"/>
    <s v="Software Engineering Center, SEC Oy"/>
    <m/>
    <s v="Espoo"/>
    <m/>
    <s v="FIN-02271"/>
    <s v="Finland"/>
    <s v="EMEA"/>
    <s v="Suominen"/>
    <s v="Kalle"/>
    <s v="Large"/>
    <s v=""/>
    <x v="1"/>
  </r>
  <r>
    <n v="10272"/>
    <n v="35"/>
    <n v="100"/>
    <n v="2"/>
    <n v="5818.4"/>
    <d v="2004-07-20T00:00:00"/>
    <s v="Shipped"/>
    <n v="3"/>
    <n v="7"/>
    <n v="2004"/>
    <s v="Classic Cars"/>
    <n v="207"/>
    <s v="S12_1108"/>
    <s v="Diecast Classics Inc."/>
    <n v="2155551555"/>
    <s v="7586 Pompton St."/>
    <m/>
    <s v="Allentown"/>
    <s v="PA"/>
    <n v="70267"/>
    <s v="USA"/>
    <s v="NA"/>
    <s v="Yu"/>
    <s v="Kyung"/>
    <s v="Medium"/>
    <s v=""/>
    <x v="2"/>
  </r>
  <r>
    <n v="10282"/>
    <n v="41"/>
    <n v="100"/>
    <n v="5"/>
    <n v="7071.27"/>
    <d v="2004-08-20T00:00:00"/>
    <s v="Shipped"/>
    <n v="3"/>
    <n v="8"/>
    <n v="2004"/>
    <s v="Classic Cars"/>
    <n v="207"/>
    <s v="S12_1108"/>
    <s v="Mini Gifts Distributors Ltd."/>
    <n v="4155551450"/>
    <s v="5677 Strong St."/>
    <m/>
    <s v="San Rafael"/>
    <s v="CA"/>
    <n v="97562"/>
    <s v="USA"/>
    <s v="NA"/>
    <s v="Nelson"/>
    <s v="Valarie"/>
    <s v="Large"/>
    <s v=""/>
    <x v="3"/>
  </r>
  <r>
    <n v="10293"/>
    <n v="46"/>
    <n v="100"/>
    <n v="8"/>
    <n v="8411.56"/>
    <d v="2004-09-09T00:00:00"/>
    <s v="Shipped"/>
    <n v="3"/>
    <n v="9"/>
    <n v="2004"/>
    <s v="Classic Cars"/>
    <n v="207"/>
    <s v="S12_1108"/>
    <s v="Amica Models &amp; Co."/>
    <s v="011-4988555"/>
    <s v="Via Monte Bianco 34"/>
    <m/>
    <s v="Torino"/>
    <m/>
    <n v="10100"/>
    <s v="Italy"/>
    <s v="EMEA"/>
    <s v="Accorti"/>
    <s v="Paolo"/>
    <s v="Large"/>
    <s v=""/>
    <x v="10"/>
  </r>
  <r>
    <n v="10306"/>
    <n v="31"/>
    <n v="100"/>
    <n v="13"/>
    <n v="6570.76"/>
    <d v="2004-10-14T00:00:00"/>
    <s v="Shipped"/>
    <n v="4"/>
    <n v="10"/>
    <n v="2004"/>
    <s v="Classic Cars"/>
    <n v="207"/>
    <s v="S12_1108"/>
    <s v="AV Stores, Co."/>
    <s v="(171) 555-1555"/>
    <s v="Fauntleroy Circus"/>
    <m/>
    <s v="Manchester"/>
    <m/>
    <s v="EC2 5NT"/>
    <s v="UK"/>
    <s v="EMEA"/>
    <s v="Ashworth"/>
    <s v="Victoria"/>
    <s v="Medium"/>
    <s v=""/>
    <x v="4"/>
  </r>
  <r>
    <n v="10314"/>
    <n v="38"/>
    <n v="100"/>
    <n v="5"/>
    <n v="7975.44"/>
    <d v="2004-10-22T00:00:00"/>
    <s v="Shipped"/>
    <n v="4"/>
    <n v="10"/>
    <n v="2004"/>
    <s v="Classic Cars"/>
    <n v="207"/>
    <s v="S12_1108"/>
    <s v="Heintze Collectables"/>
    <s v="86 21 3555"/>
    <s v="Smagsloget 45"/>
    <m/>
    <s v="Aaarhus"/>
    <m/>
    <n v="8200"/>
    <s v="Denmark"/>
    <s v="EMEA"/>
    <s v="Ibsen"/>
    <s v="Palle"/>
    <s v="Large"/>
    <s v=""/>
    <x v="4"/>
  </r>
  <r>
    <n v="10336"/>
    <n v="33"/>
    <n v="57.22"/>
    <n v="10"/>
    <n v="1888.26"/>
    <d v="2004-11-20T00:00:00"/>
    <s v="Shipped"/>
    <n v="4"/>
    <n v="11"/>
    <n v="2004"/>
    <s v="Classic Cars"/>
    <n v="207"/>
    <s v="S12_1108"/>
    <s v="La Corne D'abondance, Co."/>
    <s v="(1) 42.34.2555"/>
    <s v="265, boulevard Charonne"/>
    <m/>
    <s v="Paris"/>
    <m/>
    <n v="75012"/>
    <s v="France"/>
    <s v="EMEA"/>
    <s v="Bertrand"/>
    <s v="Marie"/>
    <s v="Small"/>
    <s v=""/>
    <x v="5"/>
  </r>
  <r>
    <n v="10348"/>
    <n v="48"/>
    <n v="52.36"/>
    <n v="8"/>
    <n v="2513.2800000000002"/>
    <d v="2004-11-01T00:00:00"/>
    <s v="Shipped"/>
    <n v="4"/>
    <n v="11"/>
    <n v="2004"/>
    <s v="Classic Cars"/>
    <n v="207"/>
    <s v="S12_1108"/>
    <s v="Corrida Auto Replicas, Ltd"/>
    <s v="(91) 555 22 82"/>
    <s v="C/ Araquil, 67"/>
    <m/>
    <s v="Madrid"/>
    <m/>
    <n v="28023"/>
    <s v="Spain"/>
    <s v="EMEA"/>
    <s v="Sommer"/>
    <s v="Mart¡n"/>
    <s v="Small"/>
    <s v=""/>
    <x v="5"/>
  </r>
  <r>
    <n v="10371"/>
    <n v="32"/>
    <n v="100"/>
    <n v="6"/>
    <n v="3560.64"/>
    <d v="2005-01-23T00:00:00"/>
    <s v="Shipped"/>
    <n v="1"/>
    <n v="1"/>
    <n v="2005"/>
    <s v="Classic Cars"/>
    <n v="207"/>
    <s v="S12_1108"/>
    <s v="Mini Gifts Distributors Ltd."/>
    <n v="4155551450"/>
    <s v="5677 Strong St."/>
    <m/>
    <s v="San Rafael"/>
    <s v="CA"/>
    <n v="97562"/>
    <s v="USA"/>
    <s v="NA"/>
    <s v="Nelson"/>
    <s v="Valarie"/>
    <s v="Medium"/>
    <s v=""/>
    <x v="7"/>
  </r>
  <r>
    <n v="10382"/>
    <n v="34"/>
    <n v="100"/>
    <n v="10"/>
    <n v="3823.64"/>
    <d v="2005-02-17T00:00:00"/>
    <s v="Shipped"/>
    <n v="1"/>
    <n v="2"/>
    <n v="2005"/>
    <s v="Classic Cars"/>
    <n v="207"/>
    <s v="S12_1108"/>
    <s v="Mini Gifts Distributors Ltd."/>
    <n v="4155551450"/>
    <s v="5677 Strong St."/>
    <m/>
    <s v="San Rafael"/>
    <s v="CA"/>
    <n v="97562"/>
    <s v="USA"/>
    <s v="NA"/>
    <s v="Nelson"/>
    <s v="Valarie"/>
    <s v="Medium"/>
    <s v=""/>
    <x v="0"/>
  </r>
  <r>
    <n v="10413"/>
    <n v="36"/>
    <n v="100"/>
    <n v="2"/>
    <n v="8677.7999999999993"/>
    <d v="2005-05-05T00:00:00"/>
    <s v="Shipped"/>
    <n v="2"/>
    <n v="5"/>
    <n v="2005"/>
    <s v="Classic Cars"/>
    <n v="207"/>
    <s v="S12_1108"/>
    <s v="Gift Depot Inc."/>
    <n v="2035552570"/>
    <s v="25593 South Bay Ln."/>
    <m/>
    <s v="Bridgewater"/>
    <s v="CT"/>
    <n v="97562"/>
    <s v="USA"/>
    <s v="NA"/>
    <s v="King"/>
    <s v="Julie"/>
    <s v="Large"/>
    <s v=""/>
    <x v="1"/>
  </r>
  <r>
    <n v="10113"/>
    <n v="21"/>
    <n v="100"/>
    <n v="2"/>
    <n v="3415.44"/>
    <d v="2003-03-26T00:00:00"/>
    <s v="Shipped"/>
    <n v="1"/>
    <n v="3"/>
    <n v="2003"/>
    <s v="Trucks and Buses"/>
    <n v="136"/>
    <s v="S12_1666"/>
    <s v="Mini Gifts Distributors Ltd."/>
    <n v="4155551450"/>
    <s v="5677 Strong St."/>
    <m/>
    <s v="San Rafael"/>
    <s v="CA"/>
    <n v="97562"/>
    <s v="USA"/>
    <s v="NA"/>
    <s v="Nelson"/>
    <s v="Valarie"/>
    <s v="Medium"/>
    <s v=""/>
    <x v="11"/>
  </r>
  <r>
    <n v="10216"/>
    <n v="43"/>
    <n v="100"/>
    <n v="1"/>
    <n v="5759.42"/>
    <d v="2004-02-02T00:00:00"/>
    <s v="Shipped"/>
    <n v="1"/>
    <n v="2"/>
    <n v="2004"/>
    <s v="Trucks and Buses"/>
    <n v="136"/>
    <s v="S12_1666"/>
    <s v="Auto Assoc. &amp; Cie."/>
    <s v="30.59.8555"/>
    <s v="67, avenue de l'Europe"/>
    <m/>
    <s v="Versailles"/>
    <m/>
    <n v="78000"/>
    <s v="France"/>
    <s v="EMEA"/>
    <s v="Tonini"/>
    <s v="Daniel"/>
    <s v="Medium"/>
    <s v=""/>
    <x v="0"/>
  </r>
  <r>
    <n v="10189"/>
    <n v="28"/>
    <n v="100"/>
    <n v="1"/>
    <n v="4512.4799999999996"/>
    <d v="2003-11-18T00:00:00"/>
    <s v="Shipped"/>
    <n v="4"/>
    <n v="11"/>
    <n v="2003"/>
    <s v="Motorcycles"/>
    <n v="150"/>
    <s v="S12_2823"/>
    <s v="Toys4GrownUps.com"/>
    <n v="6265557265"/>
    <s v="78934 Hillside Dr."/>
    <m/>
    <s v="Pasadena"/>
    <s v="CA"/>
    <n v="90003"/>
    <s v="USA"/>
    <s v="NA"/>
    <s v="Young"/>
    <s v="Julie"/>
    <s v="Medium"/>
    <s v=""/>
    <x v="5"/>
  </r>
  <r>
    <n v="10224"/>
    <n v="43"/>
    <n v="100"/>
    <n v="6"/>
    <n v="6087.94"/>
    <d v="2004-02-21T00:00:00"/>
    <s v="Shipped"/>
    <n v="1"/>
    <n v="2"/>
    <n v="2004"/>
    <s v="Motorcycles"/>
    <n v="150"/>
    <s v="S12_2823"/>
    <s v="Daedalus Designs Imports"/>
    <s v="20.16.1555"/>
    <s v="184, chausse de Tournai"/>
    <m/>
    <s v="Lille"/>
    <m/>
    <n v="59000"/>
    <s v="France"/>
    <s v="EMEA"/>
    <s v="Rance"/>
    <s v="Martine"/>
    <s v="Medium"/>
    <s v=""/>
    <x v="0"/>
  </r>
  <r>
    <n v="10319"/>
    <n v="30"/>
    <n v="100"/>
    <n v="9"/>
    <n v="4111.8"/>
    <d v="2004-11-03T00:00:00"/>
    <s v="Shipped"/>
    <n v="4"/>
    <n v="11"/>
    <n v="2004"/>
    <s v="Motorcycles"/>
    <n v="150"/>
    <s v="S12_2823"/>
    <s v="Microscale Inc."/>
    <n v="2125551957"/>
    <s v="5290 North Pendale Street"/>
    <s v="Suite 200"/>
    <s v="NYC"/>
    <s v="NY"/>
    <n v="10022"/>
    <s v="USA"/>
    <s v="NA"/>
    <s v="Kuo"/>
    <s v="Kee"/>
    <s v="Medium"/>
    <s v=""/>
    <x v="5"/>
  </r>
  <r>
    <n v="10104"/>
    <n v="34"/>
    <n v="100"/>
    <n v="1"/>
    <n v="5958.5"/>
    <d v="2003-01-31T00:00:00"/>
    <s v="Shipped"/>
    <n v="1"/>
    <n v="1"/>
    <n v="2003"/>
    <s v="Classic Cars"/>
    <n v="151"/>
    <s v="S12_3148"/>
    <s v="Euro Shopping Channel"/>
    <s v="(91) 555 94 44"/>
    <s v="C/ Moralzarzal, 86"/>
    <m/>
    <s v="Madrid"/>
    <m/>
    <n v="28034"/>
    <s v="Spain"/>
    <s v="EMEA"/>
    <s v="Freyre"/>
    <s v="Diego"/>
    <s v="Medium"/>
    <s v=""/>
    <x v="7"/>
  </r>
  <r>
    <n v="10230"/>
    <n v="43"/>
    <n v="100"/>
    <n v="1"/>
    <n v="7016.31"/>
    <d v="2004-03-15T00:00:00"/>
    <s v="Shipped"/>
    <n v="1"/>
    <n v="3"/>
    <n v="2004"/>
    <s v="Classic Cars"/>
    <n v="151"/>
    <s v="S12_3148"/>
    <s v="Blauer See Auto, Co."/>
    <s v="+49 69 66 90 2555"/>
    <s v="Lyonerstr. 34"/>
    <m/>
    <s v="Frankfurt"/>
    <m/>
    <n v="60528"/>
    <s v="Germany"/>
    <s v="EMEA"/>
    <s v="Keitel"/>
    <s v="Roland"/>
    <s v="Large"/>
    <s v=""/>
    <x v="11"/>
  </r>
  <r>
    <n v="10324"/>
    <n v="27"/>
    <n v="54.33"/>
    <n v="1"/>
    <n v="1466.91"/>
    <d v="2004-11-05T00:00:00"/>
    <s v="Shipped"/>
    <n v="4"/>
    <n v="11"/>
    <n v="2004"/>
    <s v="Classic Cars"/>
    <n v="151"/>
    <s v="S12_3148"/>
    <s v="Vitachrome Inc."/>
    <n v="2125551500"/>
    <s v="2678 Kingston Rd."/>
    <s v="Suite 101"/>
    <s v="NYC"/>
    <s v="NY"/>
    <n v="10022"/>
    <s v="USA"/>
    <s v="NA"/>
    <s v="Frick"/>
    <s v="Michael"/>
    <s v="Small"/>
    <s v=""/>
    <x v="5"/>
  </r>
  <r>
    <n v="10358"/>
    <n v="49"/>
    <n v="55.34"/>
    <n v="5"/>
    <n v="2711.66"/>
    <d v="2004-12-10T00:00:00"/>
    <s v="Shipped"/>
    <n v="4"/>
    <n v="12"/>
    <n v="2004"/>
    <s v="Classic Cars"/>
    <n v="151"/>
    <s v="S12_3148"/>
    <s v="Euro Shopping Channel"/>
    <s v="(91) 555 94 44"/>
    <s v="C/ Moralzarzal, 86"/>
    <m/>
    <s v="Madrid"/>
    <m/>
    <n v="28034"/>
    <s v="Spain"/>
    <s v="EMEA"/>
    <s v="Freyre"/>
    <s v="Diego"/>
    <s v="Small"/>
    <s v=""/>
    <x v="6"/>
  </r>
  <r>
    <n v="10372"/>
    <n v="40"/>
    <n v="100"/>
    <n v="4"/>
    <n v="5862"/>
    <d v="2005-01-26T00:00:00"/>
    <s v="Shipped"/>
    <n v="1"/>
    <n v="1"/>
    <n v="2005"/>
    <s v="Classic Cars"/>
    <n v="151"/>
    <s v="S12_3148"/>
    <s v="Tokyo Collectables, Ltd"/>
    <s v="+81 3 3584 0555"/>
    <s v="2-2-8 Roppongi"/>
    <m/>
    <s v="Minato-ku"/>
    <s v="Tokyo"/>
    <s v="106-0032"/>
    <s v="Japan"/>
    <s v="Japan"/>
    <s v="Shimamura"/>
    <s v="Akiko"/>
    <s v="Medium"/>
    <s v=""/>
    <x v="7"/>
  </r>
  <r>
    <n v="10160"/>
    <n v="46"/>
    <n v="100"/>
    <n v="6"/>
    <n v="5294.14"/>
    <d v="2003-10-11T00:00:00"/>
    <s v="Shipped"/>
    <n v="4"/>
    <n v="10"/>
    <n v="2003"/>
    <s v="Classic Cars"/>
    <n v="117"/>
    <s v="S12_3380"/>
    <s v="Men 'R' US Retailers, Ltd."/>
    <n v="2155554369"/>
    <s v="6047 Douglas Av."/>
    <m/>
    <s v="Los Angeles"/>
    <s v="CA"/>
    <m/>
    <s v="USA"/>
    <s v="NA"/>
    <s v="Chandler"/>
    <s v="Michael"/>
    <s v="Medium"/>
    <s v=""/>
    <x v="4"/>
  </r>
  <r>
    <n v="10170"/>
    <n v="47"/>
    <n v="100"/>
    <n v="4"/>
    <n v="5464.69"/>
    <d v="2003-11-04T00:00:00"/>
    <s v="Shipped"/>
    <n v="4"/>
    <n v="11"/>
    <n v="2003"/>
    <s v="Classic Cars"/>
    <n v="117"/>
    <s v="S12_3380"/>
    <s v="Mini Auto Werke"/>
    <s v="7675-3555"/>
    <s v="Kirchgasse 6"/>
    <m/>
    <s v="Graz"/>
    <m/>
    <n v="8010"/>
    <s v="Austria"/>
    <s v="EMEA"/>
    <s v="Mendel"/>
    <s v="Roland"/>
    <s v="Medium"/>
    <s v=""/>
    <x v="5"/>
  </r>
  <r>
    <n v="10212"/>
    <n v="39"/>
    <n v="100"/>
    <n v="16"/>
    <n v="4946.76"/>
    <d v="2004-01-16T00:00:00"/>
    <s v="Shipped"/>
    <n v="1"/>
    <n v="1"/>
    <n v="2004"/>
    <s v="Classic Cars"/>
    <n v="117"/>
    <s v="S12_3380"/>
    <s v="Euro Shopping Channel"/>
    <s v="(91) 555 94 44"/>
    <s v="C/ Moralzarzal, 86"/>
    <m/>
    <s v="Madrid"/>
    <m/>
    <n v="28034"/>
    <s v="Spain"/>
    <s v="EMEA"/>
    <s v="Freyre"/>
    <s v="Diego"/>
    <s v="Medium"/>
    <s v=""/>
    <x v="7"/>
  </r>
  <r>
    <n v="10376"/>
    <n v="35"/>
    <n v="100"/>
    <n v="1"/>
    <n v="3987.2"/>
    <d v="2005-02-08T00:00:00"/>
    <s v="Shipped"/>
    <n v="1"/>
    <n v="2"/>
    <n v="2005"/>
    <s v="Classic Cars"/>
    <n v="117"/>
    <s v="S12_3380"/>
    <s v="Boards &amp; Toys Co."/>
    <n v="3105552373"/>
    <s v="4097 Douglas Av."/>
    <m/>
    <s v="Glendale"/>
    <s v="CA"/>
    <n v="92561"/>
    <s v="USA"/>
    <s v="NA"/>
    <s v="Young"/>
    <s v="Leslie"/>
    <s v="Medium"/>
    <s v=""/>
    <x v="0"/>
  </r>
  <r>
    <n v="10349"/>
    <n v="26"/>
    <n v="100"/>
    <n v="10"/>
    <n v="4408.5600000000004"/>
    <d v="2004-12-01T00:00:00"/>
    <s v="Shipped"/>
    <n v="4"/>
    <n v="12"/>
    <n v="2004"/>
    <s v="Classic Cars"/>
    <n v="173"/>
    <s v="S12_3891"/>
    <s v="Muscle Machine Inc"/>
    <n v="2125557413"/>
    <s v="4092 Furth Circle"/>
    <s v="Suite 400"/>
    <s v="NYC"/>
    <s v="NY"/>
    <n v="10022"/>
    <s v="USA"/>
    <s v="NA"/>
    <s v="Young"/>
    <s v="Jeff"/>
    <s v="Medium"/>
    <s v=""/>
    <x v="6"/>
  </r>
  <r>
    <n v="10396"/>
    <n v="33"/>
    <n v="100"/>
    <n v="3"/>
    <n v="6109.29"/>
    <d v="2005-03-23T00:00:00"/>
    <s v="Shipped"/>
    <n v="1"/>
    <n v="3"/>
    <n v="2005"/>
    <s v="Classic Cars"/>
    <n v="173"/>
    <s v="S12_3891"/>
    <s v="Mini Gifts Distributors Ltd."/>
    <n v="4155551450"/>
    <s v="5677 Strong St."/>
    <m/>
    <s v="San Rafael"/>
    <s v="CA"/>
    <n v="97562"/>
    <s v="USA"/>
    <s v="NA"/>
    <s v="Nelson"/>
    <s v="Valarie"/>
    <s v="Medium"/>
    <s v=""/>
    <x v="11"/>
  </r>
  <r>
    <n v="10377"/>
    <n v="24"/>
    <n v="67.83"/>
    <n v="5"/>
    <n v="1627.92"/>
    <d v="2005-02-09T00:00:00"/>
    <s v="Shipped"/>
    <n v="1"/>
    <n v="2"/>
    <n v="2005"/>
    <s v="Classic Cars"/>
    <n v="79"/>
    <s v="S12_3990"/>
    <s v="Toys of Finland, Co."/>
    <s v="90-224 8555"/>
    <s v="Keskuskatu 45"/>
    <m/>
    <s v="Helsinki"/>
    <m/>
    <n v="21240"/>
    <s v="Finland"/>
    <s v="EMEA"/>
    <s v="Karttunen"/>
    <s v="Matti"/>
    <s v="Small"/>
    <s v=""/>
    <x v="0"/>
  </r>
  <r>
    <n v="10115"/>
    <n v="46"/>
    <n v="100"/>
    <n v="5"/>
    <n v="5723.78"/>
    <d v="2003-04-04T00:00:00"/>
    <s v="Shipped"/>
    <n v="2"/>
    <n v="4"/>
    <n v="2003"/>
    <s v="Trucks and Buses"/>
    <n v="118"/>
    <s v="S12_4473"/>
    <s v="Classic Legends Inc."/>
    <n v="2125558493"/>
    <s v="5905 Pompton St."/>
    <s v="Suite 750"/>
    <s v="NYC"/>
    <s v="NY"/>
    <n v="10022"/>
    <s v="USA"/>
    <s v="NA"/>
    <s v="Hernandez"/>
    <s v="Maria"/>
    <s v="Medium"/>
    <s v=""/>
    <x v="8"/>
  </r>
  <r>
    <n v="10141"/>
    <n v="21"/>
    <n v="100"/>
    <n v="5"/>
    <n v="2140.11"/>
    <d v="2003-08-01T00:00:00"/>
    <s v="Shipped"/>
    <n v="3"/>
    <n v="8"/>
    <n v="2003"/>
    <s v="Trucks and Buses"/>
    <n v="118"/>
    <s v="S12_4473"/>
    <s v="Suominen Souveniers"/>
    <s v="+358 9 8045 555"/>
    <s v="Software Engineering Center, SEC Oy"/>
    <m/>
    <s v="Espoo"/>
    <m/>
    <s v="FIN-02271"/>
    <s v="Finland"/>
    <s v="EMEA"/>
    <s v="Suominen"/>
    <s v="Kalle"/>
    <s v="Small"/>
    <s v=""/>
    <x v="3"/>
  </r>
  <r>
    <n v="10151"/>
    <n v="24"/>
    <n v="100"/>
    <n v="3"/>
    <n v="3327.6"/>
    <d v="2003-09-21T00:00:00"/>
    <s v="Shipped"/>
    <n v="3"/>
    <n v="9"/>
    <n v="2003"/>
    <s v="Trucks and Buses"/>
    <n v="118"/>
    <s v="S12_4473"/>
    <s v="Oulu Toy Supplies, Inc."/>
    <s v="981-443655"/>
    <s v="Torikatu 38"/>
    <m/>
    <s v="Oulu"/>
    <m/>
    <n v="90110"/>
    <s v="Finland"/>
    <s v="EMEA"/>
    <s v="Koskitalo"/>
    <s v="Pirkko"/>
    <s v="Medium"/>
    <s v=""/>
    <x v="10"/>
  </r>
  <r>
    <n v="10184"/>
    <n v="37"/>
    <n v="100"/>
    <n v="6"/>
    <n v="4516.22"/>
    <d v="2003-11-14T00:00:00"/>
    <s v="Shipped"/>
    <n v="4"/>
    <n v="11"/>
    <n v="2003"/>
    <s v="Trucks and Buses"/>
    <n v="118"/>
    <s v="S12_4473"/>
    <s v="Iberia Gift Imports, Corp."/>
    <s v="(95) 555 82 82"/>
    <s v="C/ Romero, 33"/>
    <m/>
    <s v="Sevilla"/>
    <m/>
    <n v="41101"/>
    <s v="Spain"/>
    <s v="EMEA"/>
    <s v="Roel"/>
    <s v="Jose Pedro"/>
    <s v="Medium"/>
    <s v=""/>
    <x v="5"/>
  </r>
  <r>
    <n v="10195"/>
    <n v="49"/>
    <n v="100"/>
    <n v="6"/>
    <n v="6445.46"/>
    <d v="2003-11-25T00:00:00"/>
    <s v="Shipped"/>
    <n v="4"/>
    <n v="11"/>
    <n v="2003"/>
    <s v="Trucks and Buses"/>
    <n v="118"/>
    <s v="S12_4473"/>
    <s v="Mini Classics"/>
    <n v="9145554562"/>
    <s v="3758 North Pendale Street"/>
    <m/>
    <s v="White Plains"/>
    <s v="NY"/>
    <n v="24067"/>
    <s v="USA"/>
    <s v="NA"/>
    <s v="Frick"/>
    <s v="Steve"/>
    <s v="Medium"/>
    <s v=""/>
    <x v="5"/>
  </r>
  <r>
    <n v="10219"/>
    <n v="48"/>
    <n v="100"/>
    <n v="2"/>
    <n v="4891.68"/>
    <d v="2004-02-10T00:00:00"/>
    <s v="Shipped"/>
    <n v="1"/>
    <n v="2"/>
    <n v="2004"/>
    <s v="Trucks and Buses"/>
    <n v="118"/>
    <s v="S12_4473"/>
    <s v="Signal Collectibles Ltd."/>
    <n v="4155554312"/>
    <s v="2793 Furth Circle"/>
    <m/>
    <s v="Brisbane"/>
    <s v="CA"/>
    <n v="94217"/>
    <s v="USA"/>
    <s v="NA"/>
    <s v="Taylor"/>
    <s v="Sue"/>
    <s v="Medium"/>
    <s v=""/>
    <x v="0"/>
  </r>
  <r>
    <n v="10246"/>
    <n v="46"/>
    <n v="100"/>
    <n v="5"/>
    <n v="5069.66"/>
    <d v="2004-05-05T00:00:00"/>
    <s v="Shipped"/>
    <n v="2"/>
    <n v="5"/>
    <n v="2004"/>
    <s v="Trucks and Buses"/>
    <n v="118"/>
    <s v="S12_4473"/>
    <s v="Euro Shopping Channel"/>
    <s v="(91) 555 94 44"/>
    <s v="C/ Moralzarzal, 86"/>
    <m/>
    <s v="Madrid"/>
    <m/>
    <n v="28034"/>
    <s v="Spain"/>
    <s v="EMEA"/>
    <s v="Freyre"/>
    <s v="Diego"/>
    <s v="Medium"/>
    <s v=""/>
    <x v="1"/>
  </r>
  <r>
    <n v="10271"/>
    <n v="31"/>
    <n v="97.17"/>
    <n v="5"/>
    <n v="3012.27"/>
    <d v="2004-07-20T00:00:00"/>
    <s v="Shipped"/>
    <n v="3"/>
    <n v="7"/>
    <n v="2004"/>
    <s v="Trucks and Buses"/>
    <n v="118"/>
    <s v="S12_4473"/>
    <s v="Mini Gifts Distributors Ltd."/>
    <n v="4155551450"/>
    <s v="5677 Strong St."/>
    <m/>
    <s v="San Rafael"/>
    <s v="CA"/>
    <n v="97562"/>
    <s v="USA"/>
    <s v="NA"/>
    <s v="Nelson"/>
    <s v="Valarie"/>
    <s v="Medium"/>
    <s v=""/>
    <x v="2"/>
  </r>
  <r>
    <n v="10292"/>
    <n v="21"/>
    <n v="100"/>
    <n v="8"/>
    <n v="2214.87"/>
    <d v="2004-09-08T00:00:00"/>
    <s v="Shipped"/>
    <n v="3"/>
    <n v="9"/>
    <n v="2004"/>
    <s v="Trucks and Buses"/>
    <n v="118"/>
    <s v="S12_4473"/>
    <s v="Land of Toys Inc."/>
    <n v="2125557818"/>
    <s v="897 Long Airport Avenue"/>
    <m/>
    <s v="NYC"/>
    <s v="NY"/>
    <n v="10022"/>
    <s v="USA"/>
    <s v="NA"/>
    <s v="Yu"/>
    <s v="Kwai"/>
    <s v="Small"/>
    <s v=""/>
    <x v="10"/>
  </r>
  <r>
    <n v="10412"/>
    <n v="54"/>
    <n v="100"/>
    <n v="5"/>
    <n v="5951.34"/>
    <d v="2005-05-03T00:00:00"/>
    <s v="Shipped"/>
    <n v="2"/>
    <n v="5"/>
    <n v="2005"/>
    <s v="Trucks and Buses"/>
    <n v="118"/>
    <s v="S12_4473"/>
    <s v="Euro Shopping Channel"/>
    <s v="(91) 555 94 44"/>
    <s v="C/ Moralzarzal, 86"/>
    <m/>
    <s v="Madrid"/>
    <m/>
    <n v="28034"/>
    <s v="Spain"/>
    <s v="EMEA"/>
    <s v="Freyre"/>
    <s v="Diego"/>
    <s v="Medium"/>
    <s v=""/>
    <x v="1"/>
  </r>
  <r>
    <n v="10192"/>
    <n v="27"/>
    <n v="100"/>
    <n v="16"/>
    <n v="3544.56"/>
    <d v="2003-11-20T00:00:00"/>
    <s v="Shipped"/>
    <n v="4"/>
    <n v="11"/>
    <n v="2003"/>
    <s v="Classic Cars"/>
    <n v="115"/>
    <s v="S12_4675"/>
    <s v="Online Diecast Creations Co."/>
    <n v="6035558647"/>
    <s v="2304 Long Airport Avenue"/>
    <m/>
    <s v="Nashua"/>
    <s v="NH"/>
    <n v="62005"/>
    <s v="USA"/>
    <s v="NA"/>
    <s v="Young"/>
    <s v="Valarie"/>
    <s v="Medium"/>
    <s v=""/>
    <x v="5"/>
  </r>
  <r>
    <n v="10239"/>
    <n v="21"/>
    <n v="93.28"/>
    <n v="5"/>
    <n v="1958.88"/>
    <d v="2004-04-12T00:00:00"/>
    <s v="Shipped"/>
    <n v="2"/>
    <n v="4"/>
    <n v="2004"/>
    <s v="Classic Cars"/>
    <n v="115"/>
    <s v="S12_4675"/>
    <s v="Oulu Toy Supplies, Inc."/>
    <s v="981-443655"/>
    <s v="Torikatu 38"/>
    <m/>
    <s v="Oulu"/>
    <m/>
    <n v="90110"/>
    <s v="Finland"/>
    <s v="EMEA"/>
    <s v="Koskitalo"/>
    <s v="Pirkko"/>
    <s v="Small"/>
    <s v=""/>
    <x v="8"/>
  </r>
  <r>
    <n v="10277"/>
    <n v="28"/>
    <n v="100"/>
    <n v="1"/>
    <n v="3127.88"/>
    <d v="2004-08-04T00:00:00"/>
    <s v="Shipped"/>
    <n v="3"/>
    <n v="8"/>
    <n v="2004"/>
    <s v="Classic Cars"/>
    <n v="115"/>
    <s v="S12_4675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s v=""/>
    <x v="3"/>
  </r>
  <r>
    <n v="10321"/>
    <n v="24"/>
    <n v="100"/>
    <n v="15"/>
    <n v="2984.88"/>
    <d v="2004-11-04T00:00:00"/>
    <s v="Shipped"/>
    <n v="4"/>
    <n v="11"/>
    <n v="2004"/>
    <s v="Classic Cars"/>
    <n v="115"/>
    <s v="S12_4675"/>
    <s v="FunGiftIdeas.com"/>
    <n v="5085552555"/>
    <s v="1785 First Street"/>
    <m/>
    <s v="New Bedford"/>
    <s v="MA"/>
    <n v="50553"/>
    <s v="USA"/>
    <s v="NA"/>
    <s v="Benitez"/>
    <s v="Violeta"/>
    <s v="Small"/>
    <s v=""/>
    <x v="5"/>
  </r>
  <r>
    <n v="10405"/>
    <n v="97"/>
    <n v="93.28"/>
    <n v="5"/>
    <n v="9048.16"/>
    <d v="2005-04-14T00:00:00"/>
    <s v="Shipped"/>
    <n v="2"/>
    <n v="4"/>
    <n v="2005"/>
    <s v="Classic Cars"/>
    <n v="115"/>
    <s v="S12_4675"/>
    <s v="Mini Caravy"/>
    <s v="88.60.1555"/>
    <s v="24, place Kluber"/>
    <m/>
    <s v="Strasbourg"/>
    <m/>
    <n v="67000"/>
    <s v="France"/>
    <s v="EMEA"/>
    <s v="Citeaux"/>
    <s v="Frederique"/>
    <s v="Large"/>
    <s v=""/>
    <x v="8"/>
  </r>
  <r>
    <n v="10109"/>
    <n v="26"/>
    <n v="100"/>
    <n v="4"/>
    <n v="4379.18"/>
    <d v="2003-03-10T00:00:00"/>
    <s v="Shipped"/>
    <n v="1"/>
    <n v="3"/>
    <n v="2003"/>
    <s v="Classic Cars"/>
    <n v="141"/>
    <s v="S18_1129"/>
    <s v="Motor Mint Distributors Inc."/>
    <n v="2155559857"/>
    <s v="11328 Douglas Av."/>
    <m/>
    <s v="Philadelphia"/>
    <s v="PA"/>
    <n v="71270"/>
    <s v="USA"/>
    <s v="NA"/>
    <s v="Hernandez"/>
    <s v="Rosa"/>
    <s v="Medium"/>
    <s v=""/>
    <x v="11"/>
  </r>
  <r>
    <n v="10136"/>
    <n v="25"/>
    <n v="100"/>
    <n v="2"/>
    <n v="3644.75"/>
    <d v="2003-07-04T00:00:00"/>
    <s v="Shipped"/>
    <n v="3"/>
    <n v="7"/>
    <n v="2003"/>
    <s v="Classic Cars"/>
    <n v="141"/>
    <s v="S18_1129"/>
    <s v="Alpha Cognac"/>
    <s v="61.77.6555"/>
    <s v="1 rue Alsace-Lorraine"/>
    <m/>
    <s v="Toulouse"/>
    <m/>
    <n v="31000"/>
    <s v="France"/>
    <s v="EMEA"/>
    <s v="Roulet"/>
    <s v="Annette"/>
    <s v="Medium"/>
    <s v=""/>
    <x v="2"/>
  </r>
  <r>
    <n v="10148"/>
    <n v="23"/>
    <n v="100"/>
    <n v="13"/>
    <n v="2702.04"/>
    <d v="2003-09-11T00:00:00"/>
    <s v="Shipped"/>
    <n v="3"/>
    <n v="9"/>
    <n v="2003"/>
    <s v="Classic Cars"/>
    <n v="141"/>
    <s v="S18_1129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s v=""/>
    <x v="10"/>
  </r>
  <r>
    <n v="10161"/>
    <n v="28"/>
    <n v="100"/>
    <n v="12"/>
    <n v="3764.88"/>
    <d v="2003-10-17T00:00:00"/>
    <s v="Shipped"/>
    <n v="4"/>
    <n v="10"/>
    <n v="2003"/>
    <s v="Classic Cars"/>
    <n v="141"/>
    <s v="S18_1129"/>
    <s v="Heintze Collectables"/>
    <s v="86 21 3555"/>
    <s v="Smagsloget 45"/>
    <m/>
    <s v="Aaarhus"/>
    <m/>
    <n v="8200"/>
    <s v="Denmark"/>
    <s v="EMEA"/>
    <s v="Ibsen"/>
    <s v="Palle"/>
    <s v="Medium"/>
    <s v=""/>
    <x v="4"/>
  </r>
  <r>
    <n v="10171"/>
    <n v="35"/>
    <n v="100"/>
    <n v="2"/>
    <n v="4508"/>
    <d v="2003-11-05T00:00:00"/>
    <s v="Shipped"/>
    <n v="4"/>
    <n v="11"/>
    <n v="2003"/>
    <s v="Classic Cars"/>
    <n v="141"/>
    <s v="S18_1129"/>
    <s v="Quebec Home Shopping Network"/>
    <s v="(514) 555-8054"/>
    <s v="43 rue St. Laurent"/>
    <m/>
    <s v="Montreal"/>
    <s v="Quebec"/>
    <s v="H1J 1C3"/>
    <s v="Canada"/>
    <s v="NA"/>
    <s v="Fresnisre"/>
    <s v="Jean"/>
    <s v="Medium"/>
    <s v=""/>
    <x v="5"/>
  </r>
  <r>
    <n v="10204"/>
    <n v="42"/>
    <n v="100"/>
    <n v="17"/>
    <n v="6182.4"/>
    <d v="2003-12-02T00:00:00"/>
    <s v="Shipped"/>
    <n v="4"/>
    <n v="12"/>
    <n v="2003"/>
    <s v="Classic Cars"/>
    <n v="141"/>
    <s v="S18_1129"/>
    <s v="Muscle Machine Inc"/>
    <n v="2125557413"/>
    <s v="4092 Furth Circle"/>
    <s v="Suite 400"/>
    <s v="NYC"/>
    <s v="NY"/>
    <n v="10022"/>
    <s v="USA"/>
    <s v="NA"/>
    <s v="Young"/>
    <s v="Jeff"/>
    <s v="Medium"/>
    <s v=""/>
    <x v="6"/>
  </r>
  <r>
    <n v="10240"/>
    <n v="41"/>
    <n v="100"/>
    <n v="3"/>
    <n v="5628.89"/>
    <d v="2004-04-13T00:00:00"/>
    <s v="Shipped"/>
    <n v="2"/>
    <n v="4"/>
    <n v="2004"/>
    <s v="Classic Cars"/>
    <n v="141"/>
    <s v="S18_1129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  <s v=""/>
    <x v="8"/>
  </r>
  <r>
    <n v="10278"/>
    <n v="34"/>
    <n v="100"/>
    <n v="6"/>
    <n v="4667.8599999999997"/>
    <d v="2004-08-06T00:00:00"/>
    <s v="Shipped"/>
    <n v="3"/>
    <n v="8"/>
    <n v="2004"/>
    <s v="Classic Cars"/>
    <n v="141"/>
    <s v="S18_1129"/>
    <s v="Signal Gift Stores"/>
    <n v="7025551838"/>
    <s v="8489 Strong St."/>
    <m/>
    <s v="Las Vegas"/>
    <s v="NV"/>
    <n v="83030"/>
    <s v="USA"/>
    <s v="NA"/>
    <s v="King"/>
    <s v="Sue"/>
    <s v="Medium"/>
    <s v=""/>
    <x v="3"/>
  </r>
  <r>
    <n v="10301"/>
    <n v="37"/>
    <n v="100"/>
    <n v="8"/>
    <n v="5917.78"/>
    <d v="2003-10-05T00:00:00"/>
    <s v="Shipped"/>
    <n v="4"/>
    <n v="10"/>
    <n v="2003"/>
    <s v="Classic Cars"/>
    <n v="141"/>
    <s v="S18_1129"/>
    <s v="Norway Gifts By Mail, Co."/>
    <s v="+47 2212 1555"/>
    <s v="Drammensveien 126 A, PB 744 Sentrum"/>
    <m/>
    <s v="Oslo"/>
    <m/>
    <s v="N 0106"/>
    <s v="Norway"/>
    <s v="EMEA"/>
    <s v="Klaeboe"/>
    <s v="Jan"/>
    <s v="Medium"/>
    <s v=""/>
    <x v="4"/>
  </r>
  <r>
    <n v="10331"/>
    <n v="46"/>
    <n v="100"/>
    <n v="6"/>
    <n v="6434.02"/>
    <d v="2004-11-17T00:00:00"/>
    <s v="Shipped"/>
    <n v="4"/>
    <n v="11"/>
    <n v="2004"/>
    <s v="Classic Cars"/>
    <n v="141"/>
    <s v="S18_1129"/>
    <s v="Motor Mint Distributors Inc."/>
    <n v="2155559857"/>
    <s v="11328 Douglas Av."/>
    <m/>
    <s v="Philadelphia"/>
    <s v="PA"/>
    <n v="71270"/>
    <s v="USA"/>
    <s v="NA"/>
    <s v="Hernandez"/>
    <s v="Rosa"/>
    <s v="Medium"/>
    <s v=""/>
    <x v="5"/>
  </r>
  <r>
    <n v="10342"/>
    <n v="40"/>
    <n v="100"/>
    <n v="2"/>
    <n v="6454.4"/>
    <d v="2004-11-24T00:00:00"/>
    <s v="Shipped"/>
    <n v="4"/>
    <n v="11"/>
    <n v="2004"/>
    <s v="Classic Cars"/>
    <n v="141"/>
    <s v="S18_1129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s v=""/>
    <x v="5"/>
  </r>
  <r>
    <n v="10356"/>
    <n v="43"/>
    <n v="97.6"/>
    <n v="8"/>
    <n v="4196.8"/>
    <d v="2004-12-09T00:00:00"/>
    <s v="Shipped"/>
    <n v="4"/>
    <n v="12"/>
    <n v="2004"/>
    <s v="Classic Cars"/>
    <n v="141"/>
    <s v="S18_1129"/>
    <s v="Lyon Souveniers"/>
    <s v="+33 1 46 62 7555"/>
    <s v="27 rue du Colonel Pierre Avia"/>
    <m/>
    <s v="Paris"/>
    <m/>
    <n v="75508"/>
    <s v="France"/>
    <s v="EMEA"/>
    <s v="Da Cunha"/>
    <s v="Daniel"/>
    <s v="Medium"/>
    <s v=""/>
    <x v="6"/>
  </r>
  <r>
    <n v="10365"/>
    <n v="30"/>
    <n v="87.06"/>
    <n v="1"/>
    <n v="2611.8000000000002"/>
    <d v="2005-01-07T00:00:00"/>
    <s v="Shipped"/>
    <n v="1"/>
    <n v="1"/>
    <n v="2005"/>
    <s v="Classic Cars"/>
    <n v="141"/>
    <s v="S18_1129"/>
    <s v="Mini Creations Ltd."/>
    <n v="5085559555"/>
    <s v="4575 Hillside Dr."/>
    <m/>
    <s v="New Bedford"/>
    <s v="MA"/>
    <n v="50553"/>
    <s v="USA"/>
    <s v="NA"/>
    <s v="Tam"/>
    <s v="Wing C"/>
    <s v="Small"/>
    <s v=""/>
    <x v="7"/>
  </r>
  <r>
    <n v="10390"/>
    <n v="36"/>
    <n v="93.77"/>
    <n v="14"/>
    <n v="3375.72"/>
    <d v="2005-03-04T00:00:00"/>
    <s v="Shipped"/>
    <n v="1"/>
    <n v="3"/>
    <n v="2005"/>
    <s v="Classic Cars"/>
    <n v="141"/>
    <s v="S18_1129"/>
    <s v="Mini Gifts Distributors Ltd."/>
    <n v="4155551450"/>
    <s v="5677 Strong St."/>
    <m/>
    <s v="San Rafael"/>
    <s v="CA"/>
    <n v="97562"/>
    <s v="USA"/>
    <s v="NA"/>
    <s v="Nelson"/>
    <s v="Valarie"/>
    <s v="Medium"/>
    <s v=""/>
    <x v="11"/>
  </r>
  <r>
    <n v="10406"/>
    <n v="61"/>
    <n v="100"/>
    <n v="3"/>
    <n v="8374.69"/>
    <d v="2005-04-15T00:00:00"/>
    <s v="Disputed"/>
    <n v="2"/>
    <n v="4"/>
    <n v="2005"/>
    <s v="Classic Cars"/>
    <n v="141"/>
    <s v="S18_1129"/>
    <s v="Danish Wholesale Imports"/>
    <s v="31 12 3555"/>
    <s v="Vinb'ltet 34"/>
    <m/>
    <s v="Kobenhavn"/>
    <m/>
    <n v="1734"/>
    <s v="Denmark"/>
    <s v="EMEA"/>
    <s v="Petersen"/>
    <s v="Jytte"/>
    <s v="Large"/>
    <s v=""/>
    <x v="8"/>
  </r>
  <r>
    <n v="10102"/>
    <n v="39"/>
    <n v="100"/>
    <n v="2"/>
    <n v="4808.3100000000004"/>
    <d v="2003-01-10T00:00:00"/>
    <s v="Shipped"/>
    <n v="1"/>
    <n v="1"/>
    <n v="2003"/>
    <s v="Vintage Cars"/>
    <n v="102"/>
    <s v="S18_1342"/>
    <s v="Vitachrome Inc."/>
    <n v="2125551500"/>
    <s v="2678 Kingston Rd."/>
    <s v="Suite 101"/>
    <s v="NYC"/>
    <s v="NY"/>
    <n v="10022"/>
    <s v="USA"/>
    <s v="NA"/>
    <s v="Frick"/>
    <s v="Michael"/>
    <s v="Medium"/>
    <s v=""/>
    <x v="7"/>
  </r>
  <r>
    <n v="10111"/>
    <n v="33"/>
    <n v="99.66"/>
    <n v="6"/>
    <n v="3288.78"/>
    <d v="2003-03-25T00:00:00"/>
    <s v="Shipped"/>
    <n v="1"/>
    <n v="3"/>
    <n v="2003"/>
    <s v="Vintage Cars"/>
    <n v="102"/>
    <s v="S18_1342"/>
    <s v="Mini Wheels Co."/>
    <n v="6505555787"/>
    <s v="5557 North Pendale Street"/>
    <m/>
    <s v="San Francisco"/>
    <s v="CA"/>
    <m/>
    <s v="USA"/>
    <s v="NA"/>
    <s v="Murphy"/>
    <s v="Julie"/>
    <s v="Medium"/>
    <s v=""/>
    <x v="11"/>
  </r>
  <r>
    <n v="10125"/>
    <n v="32"/>
    <n v="100"/>
    <n v="1"/>
    <n v="3254.72"/>
    <d v="2003-05-21T00:00:00"/>
    <s v="Shipped"/>
    <n v="2"/>
    <n v="5"/>
    <n v="2003"/>
    <s v="Vintage Cars"/>
    <n v="102"/>
    <s v="S18_1342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s v=""/>
    <x v="1"/>
  </r>
  <r>
    <n v="10139"/>
    <n v="31"/>
    <n v="100"/>
    <n v="7"/>
    <n v="3184.94"/>
    <d v="2003-07-16T00:00:00"/>
    <s v="Shipped"/>
    <n v="3"/>
    <n v="7"/>
    <n v="2003"/>
    <s v="Vintage Cars"/>
    <n v="102"/>
    <s v="S18_1342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s v=""/>
    <x v="2"/>
  </r>
  <r>
    <n v="10149"/>
    <n v="50"/>
    <n v="100"/>
    <n v="4"/>
    <n v="5907.5"/>
    <d v="2003-09-12T00:00:00"/>
    <s v="Shipped"/>
    <n v="3"/>
    <n v="9"/>
    <n v="2003"/>
    <s v="Vintage Cars"/>
    <n v="102"/>
    <s v="S18_1342"/>
    <s v="Signal Collectibles Ltd."/>
    <n v="4155554312"/>
    <s v="2793 Furth Circle"/>
    <m/>
    <s v="Brisbane"/>
    <s v="CA"/>
    <n v="94217"/>
    <s v="USA"/>
    <s v="NA"/>
    <s v="Taylor"/>
    <s v="Sue"/>
    <s v="Medium"/>
    <s v=""/>
    <x v="10"/>
  </r>
  <r>
    <n v="10162"/>
    <n v="48"/>
    <n v="91.44"/>
    <n v="2"/>
    <n v="4389.12"/>
    <d v="2003-10-18T00:00:00"/>
    <s v="Shipped"/>
    <n v="4"/>
    <n v="10"/>
    <n v="2003"/>
    <s v="Vintage Cars"/>
    <n v="102"/>
    <s v="S18_1342"/>
    <s v="Corporate Gift Ideas Co."/>
    <n v="6505551386"/>
    <s v="7734 Strong St."/>
    <m/>
    <s v="San Francisco"/>
    <s v="CA"/>
    <m/>
    <s v="USA"/>
    <s v="NA"/>
    <s v="Brown"/>
    <s v="Julie"/>
    <s v="Medium"/>
    <s v=""/>
    <x v="4"/>
  </r>
  <r>
    <n v="10173"/>
    <n v="43"/>
    <n v="100"/>
    <n v="6"/>
    <n v="5036.16"/>
    <d v="2003-11-05T00:00:00"/>
    <s v="Shipped"/>
    <n v="4"/>
    <n v="11"/>
    <n v="2003"/>
    <s v="Vintage Cars"/>
    <n v="102"/>
    <s v="S18_1342"/>
    <s v="Rovelli Gifts"/>
    <s v="035-640555"/>
    <s v="Via Ludovico il Moro 22"/>
    <m/>
    <s v="Bergamo"/>
    <m/>
    <n v="24100"/>
    <s v="Italy"/>
    <s v="EMEA"/>
    <s v="Rovelli"/>
    <s v="Giovanni"/>
    <s v="Medium"/>
    <s v=""/>
    <x v="5"/>
  </r>
  <r>
    <n v="10182"/>
    <n v="25"/>
    <n v="87.33"/>
    <n v="3"/>
    <n v="2183.25"/>
    <d v="2003-11-12T00:00:00"/>
    <s v="Shipped"/>
    <n v="4"/>
    <n v="11"/>
    <n v="2003"/>
    <s v="Vintage Cars"/>
    <n v="102"/>
    <s v="S18_1342"/>
    <s v="Mini Gifts Distributors Ltd."/>
    <n v="4155551450"/>
    <s v="5677 Strong St."/>
    <m/>
    <s v="San Rafael"/>
    <s v="CA"/>
    <n v="97562"/>
    <s v="USA"/>
    <s v="NA"/>
    <s v="Nelson"/>
    <s v="Valarie"/>
    <s v="Small"/>
    <s v=""/>
    <x v="5"/>
  </r>
  <r>
    <n v="10193"/>
    <n v="28"/>
    <n v="100"/>
    <n v="7"/>
    <n v="3106.88"/>
    <d v="2003-11-21T00:00:00"/>
    <s v="Shipped"/>
    <n v="4"/>
    <n v="11"/>
    <n v="2003"/>
    <s v="Vintage Cars"/>
    <n v="102"/>
    <s v="S18_1342"/>
    <s v="Australian Collectables, Ltd"/>
    <s v="61-9-3844-6555"/>
    <s v="7 Allen Street"/>
    <m/>
    <s v="Glen Waverly"/>
    <s v="Victoria"/>
    <n v="3150"/>
    <s v="Australia"/>
    <s v="APAC"/>
    <s v="Connery"/>
    <s v="Sean"/>
    <s v="Medium"/>
    <s v=""/>
    <x v="5"/>
  </r>
  <r>
    <n v="10205"/>
    <n v="36"/>
    <n v="100"/>
    <n v="2"/>
    <n v="3735.72"/>
    <d v="2003-12-03T00:00:00"/>
    <s v="Shipped"/>
    <n v="4"/>
    <n v="12"/>
    <n v="2003"/>
    <s v="Vintage Cars"/>
    <n v="102"/>
    <s v="S18_1342"/>
    <s v="Euro Shopping Channel"/>
    <s v="(91) 555 94 44"/>
    <s v="C/ Moralzarzal, 86"/>
    <m/>
    <s v="Madrid"/>
    <m/>
    <n v="28034"/>
    <s v="Spain"/>
    <s v="EMEA"/>
    <s v="Freyre"/>
    <s v="Diego"/>
    <s v="Medium"/>
    <s v=""/>
    <x v="6"/>
  </r>
  <r>
    <n v="10227"/>
    <n v="25"/>
    <n v="100"/>
    <n v="3"/>
    <n v="2953.75"/>
    <d v="2004-03-02T00:00:00"/>
    <s v="Shipped"/>
    <n v="1"/>
    <n v="3"/>
    <n v="2004"/>
    <s v="Vintage Cars"/>
    <n v="102"/>
    <s v="S18_1342"/>
    <s v="Saveley &amp; Henriot, Co."/>
    <s v="78.32.5555"/>
    <s v="2, rue du Commerce"/>
    <m/>
    <s v="Lyon"/>
    <m/>
    <n v="69004"/>
    <s v="France"/>
    <s v="EMEA"/>
    <s v="Saveley"/>
    <s v="Mary"/>
    <s v="Small"/>
    <s v=""/>
    <x v="11"/>
  </r>
  <r>
    <n v="10244"/>
    <n v="40"/>
    <n v="100"/>
    <n v="7"/>
    <n v="4684.8"/>
    <d v="2004-04-29T00:00:00"/>
    <s v="Shipped"/>
    <n v="2"/>
    <n v="4"/>
    <n v="2004"/>
    <s v="Vintage Cars"/>
    <n v="102"/>
    <s v="S18_1342"/>
    <s v="Euro Shopping Channel"/>
    <s v="(91) 555 94 44"/>
    <s v="C/ Moralzarzal, 86"/>
    <m/>
    <s v="Madrid"/>
    <m/>
    <n v="28034"/>
    <s v="Spain"/>
    <s v="EMEA"/>
    <s v="Freyre"/>
    <s v="Diego"/>
    <s v="Medium"/>
    <s v=""/>
    <x v="8"/>
  </r>
  <r>
    <n v="10256"/>
    <n v="34"/>
    <n v="95.55"/>
    <n v="2"/>
    <n v="3248.7"/>
    <d v="2004-06-08T00:00:00"/>
    <s v="Shipped"/>
    <n v="2"/>
    <n v="6"/>
    <n v="2004"/>
    <s v="Vintage Cars"/>
    <n v="102"/>
    <s v="S18_1342"/>
    <s v="Danish Wholesale Imports"/>
    <s v="31 12 3555"/>
    <s v="Vinb'ltet 34"/>
    <m/>
    <s v="Kobenhavn"/>
    <m/>
    <n v="1734"/>
    <s v="Denmark"/>
    <s v="EMEA"/>
    <s v="Petersen"/>
    <s v="Jytte"/>
    <s v="Medium"/>
    <s v=""/>
    <x v="9"/>
  </r>
  <r>
    <n v="10289"/>
    <n v="38"/>
    <n v="100"/>
    <n v="2"/>
    <n v="4567.9799999999996"/>
    <d v="2004-09-03T00:00:00"/>
    <s v="Shipped"/>
    <n v="3"/>
    <n v="9"/>
    <n v="2004"/>
    <s v="Vintage Cars"/>
    <n v="102"/>
    <s v="S18_1342"/>
    <s v="Herkku Gifts"/>
    <s v="+47 2267 3215"/>
    <s v="Drammen 121, PR 744 Sentrum"/>
    <m/>
    <s v="Bergen"/>
    <m/>
    <s v="N 5804"/>
    <s v="Norway"/>
    <s v="EMEA"/>
    <s v="Oeztan"/>
    <s v="Veysel"/>
    <s v="Medium"/>
    <s v=""/>
    <x v="10"/>
  </r>
  <r>
    <n v="10332"/>
    <n v="46"/>
    <n v="95.13"/>
    <n v="15"/>
    <n v="4375.9799999999996"/>
    <d v="2004-11-17T00:00:00"/>
    <s v="Shipped"/>
    <n v="4"/>
    <n v="11"/>
    <n v="2004"/>
    <s v="Vintage Cars"/>
    <n v="102"/>
    <s v="S18_1342"/>
    <s v="AV Stores, Co."/>
    <s v="(171) 555-1555"/>
    <s v="Fauntleroy Circus"/>
    <m/>
    <s v="Manchester"/>
    <m/>
    <s v="EC2 5NT"/>
    <s v="UK"/>
    <s v="EMEA"/>
    <s v="Ashworth"/>
    <s v="Victoria"/>
    <s v="Medium"/>
    <s v=""/>
    <x v="5"/>
  </r>
  <r>
    <n v="10346"/>
    <n v="42"/>
    <n v="36.11"/>
    <n v="3"/>
    <n v="1516.62"/>
    <d v="2004-11-29T00:00:00"/>
    <s v="Shipped"/>
    <n v="4"/>
    <n v="11"/>
    <n v="2004"/>
    <s v="Vintage Cars"/>
    <n v="102"/>
    <s v="S18_1342"/>
    <s v="Signal Gift Stores"/>
    <n v="7025551838"/>
    <s v="8489 Strong St."/>
    <m/>
    <s v="Las Vegas"/>
    <s v="NV"/>
    <n v="83030"/>
    <s v="USA"/>
    <s v="NA"/>
    <s v="King"/>
    <s v="Sue"/>
    <s v="Small"/>
    <s v=""/>
    <x v="5"/>
  </r>
  <r>
    <n v="10380"/>
    <n v="27"/>
    <n v="93.16"/>
    <n v="13"/>
    <n v="2515.3200000000002"/>
    <d v="2005-02-16T00:00:00"/>
    <s v="Shipped"/>
    <n v="1"/>
    <n v="2"/>
    <n v="2005"/>
    <s v="Vintage Cars"/>
    <n v="102"/>
    <s v="S18_1342"/>
    <s v="Euro Shopping Channel"/>
    <s v="(91) 555 94 44"/>
    <s v="C/ Moralzarzal, 86"/>
    <m/>
    <s v="Madrid"/>
    <m/>
    <n v="28034"/>
    <s v="Spain"/>
    <s v="EMEA"/>
    <s v="Freyre"/>
    <s v="Diego"/>
    <s v="Small"/>
    <s v=""/>
    <x v="0"/>
  </r>
  <r>
    <n v="10422"/>
    <n v="51"/>
    <n v="95.55"/>
    <n v="2"/>
    <n v="4873.05"/>
    <d v="2005-05-30T00:00:00"/>
    <s v="In Process"/>
    <n v="2"/>
    <n v="5"/>
    <n v="2005"/>
    <s v="Vintage Cars"/>
    <n v="102"/>
    <s v="S18_1342"/>
    <s v="Diecast Classics Inc."/>
    <n v="2155551555"/>
    <s v="7586 Pompton St."/>
    <m/>
    <s v="Allentown"/>
    <s v="PA"/>
    <n v="70267"/>
    <s v="USA"/>
    <s v="NA"/>
    <s v="Yu"/>
    <s v="Kyung"/>
    <s v="Medium"/>
    <s v=""/>
    <x v="1"/>
  </r>
  <r>
    <n v="10110"/>
    <n v="37"/>
    <n v="100"/>
    <n v="16"/>
    <n v="5433.08"/>
    <d v="2003-03-18T00:00:00"/>
    <s v="Shipped"/>
    <n v="1"/>
    <n v="3"/>
    <n v="2003"/>
    <s v="Classic Cars"/>
    <n v="124"/>
    <s v="S18_1589"/>
    <s v="AV Stores, Co."/>
    <s v="(171) 555-1555"/>
    <s v="Fauntleroy Circus"/>
    <m/>
    <s v="Manchester"/>
    <m/>
    <s v="EC2 5NT"/>
    <s v="UK"/>
    <s v="EMEA"/>
    <s v="Ashworth"/>
    <s v="Victoria"/>
    <s v="Medium"/>
    <s v=""/>
    <x v="11"/>
  </r>
  <r>
    <n v="10123"/>
    <n v="26"/>
    <n v="100"/>
    <n v="2"/>
    <n v="3073.72"/>
    <d v="2003-05-20T00:00:00"/>
    <s v="Shipped"/>
    <n v="2"/>
    <n v="5"/>
    <n v="2003"/>
    <s v="Classic Cars"/>
    <n v="124"/>
    <s v="S18_1589"/>
    <s v="Atelier graphique"/>
    <s v="40.32.2555"/>
    <s v="54, rue Royale"/>
    <m/>
    <s v="Nantes"/>
    <m/>
    <n v="44000"/>
    <s v="France"/>
    <s v="EMEA"/>
    <s v="Schmitt"/>
    <s v="Carine"/>
    <s v="Medium"/>
    <s v=""/>
    <x v="1"/>
  </r>
  <r>
    <n v="10137"/>
    <n v="44"/>
    <n v="99.55"/>
    <n v="2"/>
    <n v="4380.2"/>
    <d v="2003-07-10T00:00:00"/>
    <s v="Shipped"/>
    <n v="3"/>
    <n v="7"/>
    <n v="2003"/>
    <s v="Classic Cars"/>
    <n v="124"/>
    <s v="S18_1589"/>
    <s v="Reims Collectables"/>
    <s v="26.47.1555"/>
    <s v="59 rue de l'Abbaye"/>
    <m/>
    <s v="Reims"/>
    <m/>
    <n v="51100"/>
    <s v="France"/>
    <s v="EMEA"/>
    <s v="Henriot"/>
    <s v="Paul"/>
    <s v="Medium"/>
    <s v=""/>
    <x v="2"/>
  </r>
  <r>
    <n v="10172"/>
    <n v="42"/>
    <n v="100"/>
    <n v="6"/>
    <n v="4965.24"/>
    <d v="2003-11-05T00:00:00"/>
    <s v="Shipped"/>
    <n v="4"/>
    <n v="11"/>
    <n v="2003"/>
    <s v="Classic Cars"/>
    <n v="124"/>
    <s v="S18_1589"/>
    <s v="Gift Depot Inc."/>
    <n v="2035552570"/>
    <s v="25593 South Bay Ln."/>
    <m/>
    <s v="Bridgewater"/>
    <s v="CT"/>
    <n v="97562"/>
    <s v="USA"/>
    <s v="NA"/>
    <s v="King"/>
    <s v="Julie"/>
    <s v="Medium"/>
    <s v=""/>
    <x v="5"/>
  </r>
  <r>
    <n v="10226"/>
    <n v="38"/>
    <n v="100"/>
    <n v="4"/>
    <n v="4161.38"/>
    <d v="2004-02-26T00:00:00"/>
    <s v="Shipped"/>
    <n v="1"/>
    <n v="2"/>
    <n v="2004"/>
    <s v="Classic Cars"/>
    <n v="124"/>
    <s v="S18_1589"/>
    <s v="Collectable Mini Designs Co."/>
    <n v="7605558146"/>
    <s v="361 Furth Circle"/>
    <m/>
    <s v="San Diego"/>
    <s v="CA"/>
    <n v="91217"/>
    <s v="USA"/>
    <s v="NA"/>
    <s v="Thompson"/>
    <s v="Valarie"/>
    <s v="Medium"/>
    <s v=""/>
    <x v="0"/>
  </r>
  <r>
    <n v="10241"/>
    <n v="21"/>
    <n v="100"/>
    <n v="11"/>
    <n v="2508.66"/>
    <d v="2004-04-13T00:00:00"/>
    <s v="Shipped"/>
    <n v="2"/>
    <n v="4"/>
    <n v="2004"/>
    <s v="Classic Cars"/>
    <n v="124"/>
    <s v="S18_1589"/>
    <s v="Mini Caravy"/>
    <s v="88.60.1555"/>
    <s v="24, place Kluber"/>
    <m/>
    <s v="Strasbourg"/>
    <m/>
    <n v="67000"/>
    <s v="France"/>
    <s v="EMEA"/>
    <s v="Citeaux"/>
    <s v="Frederique"/>
    <s v="Small"/>
    <s v=""/>
    <x v="8"/>
  </r>
  <r>
    <n v="10288"/>
    <n v="20"/>
    <n v="100"/>
    <n v="14"/>
    <n v="2936.8"/>
    <d v="2004-09-01T00:00:00"/>
    <s v="Shipped"/>
    <n v="3"/>
    <n v="9"/>
    <n v="2004"/>
    <s v="Classic Cars"/>
    <n v="124"/>
    <s v="S18_158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s v=""/>
    <x v="10"/>
  </r>
  <r>
    <n v="10311"/>
    <n v="29"/>
    <n v="100"/>
    <n v="9"/>
    <n v="2923.2"/>
    <d v="2004-10-16T00:00:00"/>
    <s v="Shipped"/>
    <n v="4"/>
    <n v="10"/>
    <n v="2004"/>
    <s v="Classic Cars"/>
    <n v="124"/>
    <s v="S18_1589"/>
    <s v="Euro Shopping Channel"/>
    <s v="(91) 555 94 44"/>
    <s v="C/ Moralzarzal, 86"/>
    <m/>
    <s v="Madrid"/>
    <m/>
    <n v="28034"/>
    <s v="Spain"/>
    <s v="EMEA"/>
    <s v="Freyre"/>
    <s v="Diego"/>
    <s v="Small"/>
    <s v=""/>
    <x v="4"/>
  </r>
  <r>
    <n v="10343"/>
    <n v="36"/>
    <n v="100"/>
    <n v="4"/>
    <n v="5848.92"/>
    <d v="2004-11-24T00:00:00"/>
    <s v="Shipped"/>
    <n v="4"/>
    <n v="11"/>
    <n v="2004"/>
    <s v="Classic Cars"/>
    <n v="124"/>
    <s v="S18_1589"/>
    <s v="Reims Collectables"/>
    <s v="26.47.1555"/>
    <s v="59 rue de l'Abbaye"/>
    <m/>
    <s v="Reims"/>
    <m/>
    <n v="51100"/>
    <s v="France"/>
    <s v="EMEA"/>
    <s v="Henriot"/>
    <s v="Paul"/>
    <s v="Medium"/>
    <s v=""/>
    <x v="5"/>
  </r>
  <r>
    <n v="10367"/>
    <n v="49"/>
    <n v="56.3"/>
    <n v="1"/>
    <n v="2758.7"/>
    <d v="2005-01-12T00:00:00"/>
    <s v="Resolved"/>
    <n v="1"/>
    <n v="1"/>
    <n v="2005"/>
    <s v="Classic Cars"/>
    <n v="124"/>
    <s v="S18_1589"/>
    <s v="Toys4GrownUps.com"/>
    <n v="6265557265"/>
    <s v="78934 Hillside Dr."/>
    <m/>
    <s v="Pasadena"/>
    <s v="CA"/>
    <n v="90003"/>
    <s v="USA"/>
    <s v="NA"/>
    <s v="Young"/>
    <s v="Julie"/>
    <s v="Small"/>
    <s v=""/>
    <x v="7"/>
  </r>
  <r>
    <n v="10378"/>
    <n v="34"/>
    <n v="42.64"/>
    <n v="5"/>
    <n v="1449.76"/>
    <d v="2005-02-10T00:00:00"/>
    <s v="Shipped"/>
    <n v="1"/>
    <n v="2"/>
    <n v="2005"/>
    <s v="Classic Cars"/>
    <n v="124"/>
    <s v="S18_1589"/>
    <s v="Euro Shopping Channel"/>
    <s v="(91) 555 94 44"/>
    <s v="C/ Moralzarzal, 86"/>
    <m/>
    <s v="Madrid"/>
    <m/>
    <n v="28034"/>
    <s v="Spain"/>
    <s v="EMEA"/>
    <s v="Freyre"/>
    <s v="Diego"/>
    <s v="Small"/>
    <s v=""/>
    <x v="0"/>
  </r>
  <r>
    <n v="10407"/>
    <n v="59"/>
    <n v="100"/>
    <n v="11"/>
    <n v="7048.14"/>
    <d v="2005-04-22T00:00:00"/>
    <s v="On Hold"/>
    <n v="2"/>
    <n v="4"/>
    <n v="2005"/>
    <s v="Classic Cars"/>
    <n v="124"/>
    <s v="S18_1589"/>
    <s v="The Sharp Gifts Warehouse"/>
    <n v="4085553659"/>
    <s v="3086 Ingle Ln."/>
    <m/>
    <s v="San Jose"/>
    <s v="CA"/>
    <n v="94217"/>
    <s v="USA"/>
    <s v="NA"/>
    <s v="Frick"/>
    <s v="Sue"/>
    <s v="Large"/>
    <s v=""/>
    <x v="8"/>
  </r>
  <r>
    <n v="10106"/>
    <n v="36"/>
    <n v="100"/>
    <n v="12"/>
    <n v="5279.4"/>
    <d v="2003-02-17T00:00:00"/>
    <s v="Shipped"/>
    <n v="1"/>
    <n v="2"/>
    <n v="2003"/>
    <s v="Planes"/>
    <n v="157"/>
    <s v="S18_1662"/>
    <s v="Rovelli Gifts"/>
    <s v="035-640555"/>
    <s v="Via Ludovico il Moro 22"/>
    <m/>
    <s v="Bergamo"/>
    <m/>
    <n v="24100"/>
    <s v="Italy"/>
    <s v="EMEA"/>
    <s v="Rovelli"/>
    <s v="Giovanni"/>
    <s v="Medium"/>
    <s v=""/>
    <x v="0"/>
  </r>
  <r>
    <n v="10131"/>
    <n v="21"/>
    <n v="100"/>
    <n v="4"/>
    <n v="2781.66"/>
    <d v="2003-06-16T00:00:00"/>
    <s v="Shipped"/>
    <n v="2"/>
    <n v="6"/>
    <n v="2003"/>
    <s v="Planes"/>
    <n v="157"/>
    <s v="S18_1662"/>
    <s v="Gift Ideas Corp."/>
    <n v="2035554407"/>
    <s v="2440 Pompton St."/>
    <m/>
    <s v="Glendale"/>
    <s v="CT"/>
    <n v="97561"/>
    <s v="USA"/>
    <s v="NA"/>
    <s v="Lewis"/>
    <s v="Dan"/>
    <s v="Small"/>
    <s v=""/>
    <x v="9"/>
  </r>
  <r>
    <n v="10198"/>
    <n v="42"/>
    <n v="100"/>
    <n v="4"/>
    <n v="7483.98"/>
    <d v="2003-11-27T00:00:00"/>
    <s v="Shipped"/>
    <n v="4"/>
    <n v="11"/>
    <n v="2003"/>
    <s v="Planes"/>
    <n v="157"/>
    <s v="S18_1662"/>
    <s v="Cruz &amp; Sons Co."/>
    <s v="+63 2 555 3587"/>
    <s v="15 McCallum Street - NatWest Center #13-03"/>
    <m/>
    <s v="Makati City"/>
    <m/>
    <s v="1227 MM"/>
    <s v="Philippines"/>
    <s v="Japan"/>
    <s v="Cruz"/>
    <s v="Arnold"/>
    <s v="Large"/>
    <s v=""/>
    <x v="5"/>
  </r>
  <r>
    <n v="10250"/>
    <n v="45"/>
    <n v="100"/>
    <n v="14"/>
    <n v="8160.3"/>
    <d v="2004-05-11T00:00:00"/>
    <s v="Shipped"/>
    <n v="2"/>
    <n v="5"/>
    <n v="2004"/>
    <s v="Planes"/>
    <n v="157"/>
    <s v="S18_1662"/>
    <s v="The Sharp Gifts Warehouse"/>
    <n v="4085553659"/>
    <s v="3086 Ingle Ln."/>
    <m/>
    <s v="San Jose"/>
    <s v="CA"/>
    <n v="94217"/>
    <s v="USA"/>
    <s v="NA"/>
    <s v="Frick"/>
    <s v="Sue"/>
    <s v="Large"/>
    <s v=""/>
    <x v="1"/>
  </r>
  <r>
    <n v="10262"/>
    <n v="49"/>
    <n v="100"/>
    <n v="9"/>
    <n v="6567.96"/>
    <d v="2004-06-24T00:00:00"/>
    <s v="Cancelled"/>
    <n v="2"/>
    <n v="6"/>
    <n v="2004"/>
    <s v="Planes"/>
    <n v="157"/>
    <s v="S18_1662"/>
    <s v="Euro Shopping Channel"/>
    <s v="(91) 555 94 44"/>
    <s v="C/ Moralzarzal, 86"/>
    <m/>
    <s v="Madrid"/>
    <m/>
    <n v="28034"/>
    <s v="Spain"/>
    <s v="EMEA"/>
    <s v="Freyre"/>
    <s v="Diego"/>
    <s v="Medium"/>
    <s v=""/>
    <x v="9"/>
  </r>
  <r>
    <n v="10274"/>
    <n v="41"/>
    <n v="100"/>
    <n v="1"/>
    <n v="6724"/>
    <d v="2004-07-21T00:00:00"/>
    <s v="Shipped"/>
    <n v="3"/>
    <n v="7"/>
    <n v="2004"/>
    <s v="Planes"/>
    <n v="157"/>
    <s v="S18_1662"/>
    <s v="Collectables For Less Inc."/>
    <n v="6175558555"/>
    <s v="7825 Douglas Av."/>
    <m/>
    <s v="Brickhaven"/>
    <s v="MA"/>
    <n v="58339"/>
    <s v="USA"/>
    <s v="NA"/>
    <s v="Nelson"/>
    <s v="Allen"/>
    <s v="Medium"/>
    <s v=""/>
    <x v="2"/>
  </r>
  <r>
    <n v="10284"/>
    <n v="45"/>
    <n v="100"/>
    <n v="11"/>
    <n v="5747.85"/>
    <d v="2004-08-21T00:00:00"/>
    <s v="Shipped"/>
    <n v="3"/>
    <n v="8"/>
    <n v="2004"/>
    <s v="Planes"/>
    <n v="157"/>
    <s v="S18_1662"/>
    <s v="Norway Gifts By Mail, Co."/>
    <s v="+47 2212 1555"/>
    <s v="Drammensveien 126 A, PB 744 Sentrum"/>
    <m/>
    <s v="Oslo"/>
    <m/>
    <s v="N 0106"/>
    <s v="Norway"/>
    <s v="EMEA"/>
    <s v="Klaeboe"/>
    <s v="Jan"/>
    <s v="Medium"/>
    <s v=""/>
    <x v="3"/>
  </r>
  <r>
    <n v="10296"/>
    <n v="36"/>
    <n v="100"/>
    <n v="7"/>
    <n v="5676.84"/>
    <d v="2004-09-15T00:00:00"/>
    <s v="Shipped"/>
    <n v="3"/>
    <n v="9"/>
    <n v="2004"/>
    <s v="Planes"/>
    <n v="157"/>
    <s v="S18_1662"/>
    <s v="Bavarian Collectables Imports, Co."/>
    <s v="+49 89 61 08 9555"/>
    <s v="Hansastr. 15"/>
    <m/>
    <s v="Munich"/>
    <m/>
    <n v="80686"/>
    <s v="Germany"/>
    <s v="EMEA"/>
    <s v="Donnermeyer"/>
    <s v="Michael"/>
    <s v="Medium"/>
    <s v=""/>
    <x v="10"/>
  </r>
  <r>
    <n v="10327"/>
    <n v="25"/>
    <n v="100"/>
    <n v="6"/>
    <n v="2804.75"/>
    <d v="2004-11-10T00:00:00"/>
    <s v="Resolved"/>
    <n v="4"/>
    <n v="11"/>
    <n v="2004"/>
    <s v="Planes"/>
    <n v="157"/>
    <s v="S18_1662"/>
    <s v="Danish Wholesale Imports"/>
    <s v="31 12 3555"/>
    <s v="Vinb'ltet 34"/>
    <m/>
    <s v="Kobenhavn"/>
    <m/>
    <n v="1734"/>
    <s v="Denmark"/>
    <s v="EMEA"/>
    <s v="Petersen"/>
    <s v="Jytte"/>
    <s v="Small"/>
    <s v=""/>
    <x v="5"/>
  </r>
  <r>
    <n v="10338"/>
    <n v="41"/>
    <n v="100"/>
    <n v="1"/>
    <n v="5624.79"/>
    <d v="2004-11-22T00:00:00"/>
    <s v="Shipped"/>
    <n v="4"/>
    <n v="11"/>
    <n v="2004"/>
    <s v="Planes"/>
    <n v="157"/>
    <s v="S18_1662"/>
    <s v="Royale Belge"/>
    <s v="(071) 23 67 2555"/>
    <s v="Boulevard Tirou, 255"/>
    <m/>
    <s v="Charleroi"/>
    <m/>
    <s v="B-6000"/>
    <s v="Belgium"/>
    <s v="EMEA"/>
    <s v="Cartrain"/>
    <s v="Pascale"/>
    <s v="Medium"/>
    <s v=""/>
    <x v="5"/>
  </r>
  <r>
    <n v="10351"/>
    <n v="39"/>
    <n v="99.52"/>
    <n v="1"/>
    <n v="3881.28"/>
    <d v="2004-12-03T00:00:00"/>
    <s v="Shipped"/>
    <n v="4"/>
    <n v="12"/>
    <n v="2004"/>
    <s v="Planes"/>
    <n v="157"/>
    <s v="S18_1662"/>
    <s v="Stylish Desk Decors, Co."/>
    <s v="(171) 555-0297"/>
    <s v="35 King George"/>
    <m/>
    <s v="London"/>
    <m/>
    <s v="WX3 6FW"/>
    <s v="UK"/>
    <s v="EMEA"/>
    <s v="Brown"/>
    <s v="Ann"/>
    <s v="Medium"/>
    <s v=""/>
    <x v="6"/>
  </r>
  <r>
    <n v="10386"/>
    <n v="25"/>
    <n v="54.57"/>
    <n v="7"/>
    <n v="1364.25"/>
    <d v="2005-03-01T00:00:00"/>
    <s v="Resolved"/>
    <n v="1"/>
    <n v="3"/>
    <n v="2005"/>
    <s v="Planes"/>
    <n v="157"/>
    <s v="S18_1662"/>
    <s v="Euro Shopping Channel"/>
    <s v="(91) 555 94 44"/>
    <s v="C/ Moralzarzal, 86"/>
    <m/>
    <s v="Madrid"/>
    <m/>
    <n v="28034"/>
    <s v="Spain"/>
    <s v="EMEA"/>
    <s v="Freyre"/>
    <s v="Diego"/>
    <s v="Small"/>
    <s v=""/>
    <x v="11"/>
  </r>
  <r>
    <n v="10398"/>
    <n v="33"/>
    <n v="100"/>
    <n v="11"/>
    <n v="4215.09"/>
    <d v="2005-03-30T00:00:00"/>
    <s v="Shipped"/>
    <n v="1"/>
    <n v="3"/>
    <n v="2005"/>
    <s v="Planes"/>
    <n v="157"/>
    <s v="S18_1662"/>
    <s v="Reims Collectables"/>
    <s v="26.47.1555"/>
    <s v="59 rue de l'Abbaye"/>
    <m/>
    <s v="Reims"/>
    <m/>
    <n v="51100"/>
    <s v="France"/>
    <s v="EMEA"/>
    <s v="Henriot"/>
    <s v="Paul"/>
    <s v="Medium"/>
    <s v=""/>
    <x v="11"/>
  </r>
  <r>
    <n v="10416"/>
    <n v="24"/>
    <n v="100"/>
    <n v="14"/>
    <n v="4352.16"/>
    <d v="2005-05-10T00:00:00"/>
    <s v="Shipped"/>
    <n v="2"/>
    <n v="5"/>
    <n v="2005"/>
    <s v="Planes"/>
    <n v="157"/>
    <s v="S18_1662"/>
    <s v="L'ordine Souveniers"/>
    <s v="0522-556555"/>
    <s v="Strada Provinciale 124"/>
    <m/>
    <s v="Reggio Emilia"/>
    <m/>
    <n v="42100"/>
    <s v="Italy"/>
    <s v="EMEA"/>
    <s v="Moroni"/>
    <s v="Maurizio"/>
    <s v="Medium"/>
    <s v=""/>
    <x v="1"/>
  </r>
  <r>
    <n v="10100"/>
    <n v="30"/>
    <n v="100"/>
    <n v="3"/>
    <n v="5151"/>
    <d v="2003-01-06T00:00:00"/>
    <s v="Shipped"/>
    <n v="1"/>
    <n v="1"/>
    <n v="2003"/>
    <s v="Vintage Cars"/>
    <n v="170"/>
    <s v="S18_1749"/>
    <s v="Online Diecast Creations Co."/>
    <n v="6035558647"/>
    <s v="2304 Long Airport Avenue"/>
    <m/>
    <s v="Nashua"/>
    <s v="NH"/>
    <n v="62005"/>
    <s v="USA"/>
    <s v="NA"/>
    <s v="Young"/>
    <s v="Valarie"/>
    <s v="Medium"/>
    <s v=""/>
    <x v="7"/>
  </r>
  <r>
    <n v="10124"/>
    <n v="21"/>
    <n v="100"/>
    <n v="6"/>
    <n v="2856"/>
    <d v="2003-05-21T00:00:00"/>
    <s v="Shipped"/>
    <n v="2"/>
    <n v="5"/>
    <n v="2003"/>
    <s v="Vintage Cars"/>
    <n v="170"/>
    <s v="S18_1749"/>
    <s v="Signal Gift Stores"/>
    <n v="7025551838"/>
    <s v="8489 Strong St."/>
    <m/>
    <s v="Las Vegas"/>
    <s v="NV"/>
    <n v="83030"/>
    <s v="USA"/>
    <s v="NA"/>
    <s v="King"/>
    <s v="Sue"/>
    <s v="Small"/>
    <s v=""/>
    <x v="1"/>
  </r>
  <r>
    <n v="10214"/>
    <n v="30"/>
    <n v="100"/>
    <n v="7"/>
    <n v="5967"/>
    <d v="2004-01-26T00:00:00"/>
    <s v="Shipped"/>
    <n v="1"/>
    <n v="1"/>
    <n v="2004"/>
    <s v="Vintage Cars"/>
    <n v="170"/>
    <s v="S18_1749"/>
    <s v="Corrida Auto Replicas, Ltd"/>
    <s v="(91) 555 22 82"/>
    <s v="C/ Araquil, 67"/>
    <m/>
    <s v="Madrid"/>
    <m/>
    <n v="28023"/>
    <s v="Spain"/>
    <s v="EMEA"/>
    <s v="Sommer"/>
    <s v="Mart¡n"/>
    <s v="Medium"/>
    <s v=""/>
    <x v="7"/>
  </r>
  <r>
    <n v="10302"/>
    <n v="43"/>
    <n v="100"/>
    <n v="1"/>
    <n v="7310"/>
    <d v="2003-10-06T00:00:00"/>
    <s v="Shipped"/>
    <n v="4"/>
    <n v="10"/>
    <n v="2003"/>
    <s v="Vintage Cars"/>
    <n v="170"/>
    <s v="S18_1749"/>
    <s v="UK Collectables, Ltd."/>
    <s v="(171) 555-2282"/>
    <s v="Berkeley Gardens 12  Brewery"/>
    <m/>
    <s v="Liverpool"/>
    <m/>
    <s v="WX1 6LT"/>
    <s v="UK"/>
    <s v="EMEA"/>
    <s v="Devon"/>
    <s v="Elizabeth"/>
    <s v="Large"/>
    <s v=""/>
    <x v="4"/>
  </r>
  <r>
    <n v="10344"/>
    <n v="45"/>
    <n v="100"/>
    <n v="1"/>
    <n v="7650"/>
    <d v="2004-11-25T00:00:00"/>
    <s v="Shipped"/>
    <n v="4"/>
    <n v="11"/>
    <n v="2004"/>
    <s v="Vintage Cars"/>
    <n v="170"/>
    <s v="S18_1749"/>
    <s v="Marseille Mini Autos"/>
    <s v="91.24.4555"/>
    <s v="12, rue des Bouchers"/>
    <m/>
    <s v="Marseille"/>
    <m/>
    <n v="13008"/>
    <s v="France"/>
    <s v="EMEA"/>
    <s v="Lebihan"/>
    <s v="Laurence"/>
    <s v="Large"/>
    <s v=""/>
    <x v="5"/>
  </r>
  <r>
    <n v="10379"/>
    <n v="39"/>
    <n v="100"/>
    <n v="2"/>
    <n v="5399.55"/>
    <d v="2005-02-10T00:00:00"/>
    <s v="Shipped"/>
    <n v="1"/>
    <n v="2"/>
    <n v="2005"/>
    <s v="Vintage Cars"/>
    <n v="170"/>
    <s v="S18_1749"/>
    <s v="Euro Shopping Channel"/>
    <s v="(91) 555 94 44"/>
    <s v="C/ Moralzarzal, 86"/>
    <m/>
    <s v="Madrid"/>
    <m/>
    <n v="28034"/>
    <s v="Spain"/>
    <s v="EMEA"/>
    <s v="Freyre"/>
    <s v="Diego"/>
    <s v="Medium"/>
    <s v=""/>
    <x v="0"/>
  </r>
  <r>
    <n v="10420"/>
    <n v="37"/>
    <n v="100"/>
    <n v="5"/>
    <n v="5283.6"/>
    <d v="2005-05-29T00:00:00"/>
    <s v="In Process"/>
    <n v="2"/>
    <n v="5"/>
    <n v="2005"/>
    <s v="Vintage Cars"/>
    <n v="170"/>
    <s v="S18_174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s v=""/>
    <x v="1"/>
  </r>
  <r>
    <n v="10366"/>
    <n v="34"/>
    <n v="100"/>
    <n v="3"/>
    <n v="4207.84"/>
    <d v="2005-01-10T00:00:00"/>
    <s v="Shipped"/>
    <n v="1"/>
    <n v="1"/>
    <n v="2005"/>
    <s v="Classic Cars"/>
    <n v="142"/>
    <s v="S18_1984"/>
    <s v="Royale Belge"/>
    <s v="(071) 23 67 2555"/>
    <s v="Boulevard Tirou, 255"/>
    <m/>
    <s v="Charleroi"/>
    <m/>
    <s v="B-6000"/>
    <s v="Belgium"/>
    <s v="EMEA"/>
    <s v="Cartrain"/>
    <s v="Pascale"/>
    <s v="Medium"/>
    <s v=""/>
    <x v="7"/>
  </r>
  <r>
    <n v="10303"/>
    <n v="46"/>
    <n v="49.04"/>
    <n v="2"/>
    <n v="2255.84"/>
    <d v="2004-10-06T00:00:00"/>
    <s v="Shipped"/>
    <n v="4"/>
    <n v="10"/>
    <n v="2004"/>
    <s v="Vintage Cars"/>
    <n v="60"/>
    <s v="S18_2248"/>
    <s v="Iberia Gift Imports, Corp."/>
    <s v="(95) 555 82 82"/>
    <s v="C/ Romero, 33"/>
    <m/>
    <s v="Sevilla"/>
    <m/>
    <n v="41101"/>
    <s v="Spain"/>
    <s v="EMEA"/>
    <s v="Roel"/>
    <s v="Jose Pedro"/>
    <s v="Small"/>
    <s v=""/>
    <x v="4"/>
  </r>
  <r>
    <n v="10383"/>
    <n v="27"/>
    <n v="100"/>
    <n v="11"/>
    <n v="3843.99"/>
    <d v="2005-02-22T00:00:00"/>
    <s v="Shipped"/>
    <n v="1"/>
    <n v="2"/>
    <n v="2005"/>
    <s v="Trucks and Buses"/>
    <n v="122"/>
    <s v="S18_2319"/>
    <s v="Euro Shopping Channel"/>
    <s v="(91) 555 94 44"/>
    <s v="C/ Moralzarzal, 86"/>
    <m/>
    <s v="Madrid"/>
    <m/>
    <n v="28034"/>
    <s v="Spain"/>
    <s v="EMEA"/>
    <s v="Freyre"/>
    <s v="Diego"/>
    <s v="Medium"/>
    <s v=""/>
    <x v="0"/>
  </r>
  <r>
    <n v="10101"/>
    <n v="25"/>
    <n v="100"/>
    <n v="4"/>
    <n v="3782"/>
    <d v="2003-01-09T00:00:00"/>
    <s v="Shipped"/>
    <n v="1"/>
    <n v="1"/>
    <n v="2003"/>
    <s v="Vintage Cars"/>
    <n v="127"/>
    <s v="S18_2325"/>
    <s v="Blauer See Auto, Co."/>
    <s v="+49 69 66 90 2555"/>
    <s v="Lyonerstr. 34"/>
    <m/>
    <s v="Frankfurt"/>
    <m/>
    <n v="60528"/>
    <s v="Germany"/>
    <s v="EMEA"/>
    <s v="Keitel"/>
    <s v="Roland"/>
    <s v="Medium"/>
    <s v=""/>
    <x v="7"/>
  </r>
  <r>
    <n v="10243"/>
    <n v="47"/>
    <n v="100"/>
    <n v="2"/>
    <n v="6154.18"/>
    <d v="2004-04-26T00:00:00"/>
    <s v="Shipped"/>
    <n v="2"/>
    <n v="4"/>
    <n v="2004"/>
    <s v="Vintage Cars"/>
    <n v="127"/>
    <s v="S18_2325"/>
    <s v="Diecast Collectables"/>
    <n v="6175552555"/>
    <s v="6251 Ingle Ln."/>
    <m/>
    <s v="Boston"/>
    <s v="MA"/>
    <n v="51003"/>
    <s v="USA"/>
    <s v="NA"/>
    <s v="Franco"/>
    <s v="Valarie"/>
    <s v="Medium"/>
    <s v=""/>
    <x v="8"/>
  </r>
  <r>
    <n v="10409"/>
    <n v="6"/>
    <n v="100"/>
    <n v="2"/>
    <n v="785.64"/>
    <d v="2005-04-23T00:00:00"/>
    <s v="Shipped"/>
    <n v="2"/>
    <n v="4"/>
    <n v="2005"/>
    <s v="Vintage Cars"/>
    <n v="127"/>
    <s v="S18_2325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s v=""/>
    <x v="8"/>
  </r>
  <r>
    <n v="10133"/>
    <n v="49"/>
    <n v="69.27"/>
    <n v="3"/>
    <n v="3394.23"/>
    <d v="2003-06-27T00:00:00"/>
    <s v="Shipped"/>
    <n v="2"/>
    <n v="6"/>
    <n v="2003"/>
    <s v="Planes"/>
    <n v="84"/>
    <s v="S18_2581"/>
    <s v="Euro Shopping Channel"/>
    <s v="(91) 555 94 44"/>
    <s v="C/ Moralzarzal, 86"/>
    <m/>
    <s v="Madrid"/>
    <m/>
    <n v="28034"/>
    <s v="Spain"/>
    <s v="EMEA"/>
    <s v="Freyre"/>
    <s v="Diego"/>
    <s v="Medium"/>
    <s v=""/>
    <x v="9"/>
  </r>
  <r>
    <n v="10235"/>
    <n v="24"/>
    <n v="76.03"/>
    <n v="3"/>
    <n v="1824.72"/>
    <d v="2004-04-02T00:00:00"/>
    <s v="Shipped"/>
    <n v="2"/>
    <n v="4"/>
    <n v="2004"/>
    <s v="Planes"/>
    <n v="84"/>
    <s v="S18_2581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s v=""/>
    <x v="8"/>
  </r>
  <r>
    <n v="10297"/>
    <n v="25"/>
    <n v="82.79"/>
    <n v="4"/>
    <n v="2069.75"/>
    <d v="2004-09-16T00:00:00"/>
    <s v="Shipped"/>
    <n v="3"/>
    <n v="9"/>
    <n v="2004"/>
    <s v="Planes"/>
    <n v="84"/>
    <s v="S18_2581"/>
    <s v="Clover Collections, Co."/>
    <s v="+353 1862 1555"/>
    <s v="25 Maiden Lane"/>
    <s v="Floor No. 4"/>
    <s v="Dublin"/>
    <m/>
    <n v="2"/>
    <s v="Ireland"/>
    <s v="EMEA"/>
    <s v="Cassidy"/>
    <s v="Dean"/>
    <s v="Small"/>
    <s v=""/>
    <x v="10"/>
  </r>
  <r>
    <n v="10353"/>
    <n v="27"/>
    <n v="100"/>
    <n v="1"/>
    <n v="3515.67"/>
    <d v="2004-12-04T00:00:00"/>
    <s v="Shipped"/>
    <n v="4"/>
    <n v="12"/>
    <n v="2004"/>
    <s v="Planes"/>
    <n v="84"/>
    <s v="S18_2581"/>
    <s v="Gift Ideas Corp."/>
    <n v="2035554407"/>
    <s v="2440 Pompton St."/>
    <m/>
    <s v="Glendale"/>
    <s v="CT"/>
    <n v="97561"/>
    <s v="USA"/>
    <s v="NA"/>
    <s v="Lewis"/>
    <s v="Dan"/>
    <s v="Medium"/>
    <s v=""/>
    <x v="6"/>
  </r>
  <r>
    <n v="10401"/>
    <n v="42"/>
    <n v="76.03"/>
    <n v="3"/>
    <n v="3193.26"/>
    <d v="2005-04-03T00:00:00"/>
    <s v="On Hold"/>
    <n v="2"/>
    <n v="4"/>
    <n v="2005"/>
    <s v="Planes"/>
    <n v="84"/>
    <s v="S18_2581"/>
    <s v="Tekni Collectables Inc."/>
    <n v="2015559350"/>
    <s v="7476 Moss Rd."/>
    <m/>
    <s v="Newark"/>
    <s v="NJ"/>
    <n v="94019"/>
    <s v="USA"/>
    <s v="NA"/>
    <s v="Brown"/>
    <s v="William"/>
    <s v="Medium"/>
    <s v=""/>
    <x v="8"/>
  </r>
  <r>
    <n v="10255"/>
    <n v="24"/>
    <n v="100"/>
    <n v="1"/>
    <n v="3726"/>
    <d v="2004-06-04T00:00:00"/>
    <s v="Shipped"/>
    <n v="2"/>
    <n v="6"/>
    <n v="2004"/>
    <s v="Vintage Cars"/>
    <n v="168"/>
    <s v="S18_2795"/>
    <s v="Mini Caravy"/>
    <s v="88.60.1555"/>
    <s v="24, place Kluber"/>
    <m/>
    <s v="Strasbourg"/>
    <m/>
    <n v="67000"/>
    <s v="France"/>
    <s v="EMEA"/>
    <s v="Citeaux"/>
    <s v="Frederique"/>
    <s v="Medium"/>
    <s v=""/>
    <x v="9"/>
  </r>
  <r>
    <n v="10421"/>
    <n v="35"/>
    <n v="100"/>
    <n v="1"/>
    <n v="5433.75"/>
    <d v="2005-05-29T00:00:00"/>
    <s v="In Process"/>
    <n v="2"/>
    <n v="5"/>
    <n v="2005"/>
    <s v="Vintage Cars"/>
    <n v="168"/>
    <s v="S18_2795"/>
    <s v="Mini Gifts Distributors Ltd."/>
    <n v="4155551450"/>
    <s v="5677 Strong St."/>
    <m/>
    <s v="San Rafael"/>
    <s v="CA"/>
    <n v="97562"/>
    <s v="USA"/>
    <s v="NA"/>
    <s v="Nelson"/>
    <s v="Valarie"/>
    <s v="Medium"/>
    <s v=""/>
    <x v="1"/>
  </r>
  <r>
    <n v="10257"/>
    <n v="50"/>
    <n v="88.14"/>
    <n v="1"/>
    <n v="4407"/>
    <d v="2004-06-14T00:00:00"/>
    <s v="Shipped"/>
    <n v="2"/>
    <n v="6"/>
    <n v="2004"/>
    <s v="Vintage Cars"/>
    <n v="101"/>
    <s v="S18_2949"/>
    <s v="The Sharp Gifts Warehouse"/>
    <n v="4085553659"/>
    <s v="3086 Ingle Ln."/>
    <m/>
    <s v="San Jose"/>
    <s v="CA"/>
    <n v="94217"/>
    <s v="USA"/>
    <s v="NA"/>
    <s v="Frick"/>
    <s v="Sue"/>
    <s v="Medium"/>
    <s v=""/>
    <x v="9"/>
  </r>
  <r>
    <n v="10423"/>
    <n v="10"/>
    <n v="88.14"/>
    <n v="1"/>
    <n v="881.4"/>
    <d v="2005-05-30T00:00:00"/>
    <s v="In Process"/>
    <n v="2"/>
    <n v="5"/>
    <n v="2005"/>
    <s v="Vintage Cars"/>
    <n v="101"/>
    <s v="S18_2949"/>
    <s v="Petit Auto"/>
    <s v="(02) 5554 67"/>
    <s v="Rue Joseph-Bens 532"/>
    <m/>
    <s v="Bruxelles"/>
    <m/>
    <s v="B-1180"/>
    <s v="Belgium"/>
    <s v="EMEA"/>
    <s v="Dewey"/>
    <s v="Catherine"/>
    <s v="Small"/>
    <s v=""/>
    <x v="1"/>
  </r>
  <r>
    <n v="10269"/>
    <n v="32"/>
    <n v="63.08"/>
    <n v="1"/>
    <n v="2018.56"/>
    <d v="2004-07-16T00:00:00"/>
    <s v="Shipped"/>
    <n v="3"/>
    <n v="7"/>
    <n v="2004"/>
    <s v="Vintage Cars"/>
    <n v="62"/>
    <s v="S18_2957"/>
    <s v="Salzburg Collectables"/>
    <s v="6562-9555"/>
    <s v="Geislweg 14"/>
    <m/>
    <s v="Salzburg"/>
    <m/>
    <n v="5020"/>
    <s v="Austria"/>
    <s v="EMEA"/>
    <s v="Pipps"/>
    <s v="Georg"/>
    <s v="Small"/>
    <s v=""/>
    <x v="2"/>
  </r>
  <r>
    <n v="10392"/>
    <n v="37"/>
    <n v="59.96"/>
    <n v="3"/>
    <n v="2218.52"/>
    <d v="2005-03-10T00:00:00"/>
    <s v="Shipped"/>
    <n v="1"/>
    <n v="3"/>
    <n v="2005"/>
    <s v="Vintage Cars"/>
    <n v="62"/>
    <s v="S18_2957"/>
    <s v="Mini Auto Werke"/>
    <s v="7675-3555"/>
    <s v="Kirchgasse 6"/>
    <m/>
    <s v="Graz"/>
    <m/>
    <n v="8010"/>
    <s v="Austria"/>
    <s v="EMEA"/>
    <s v="Mendel"/>
    <s v="Roland"/>
    <s v="Small"/>
    <s v=""/>
    <x v="11"/>
  </r>
  <r>
    <n v="10130"/>
    <n v="40"/>
    <n v="96.34"/>
    <n v="2"/>
    <n v="3853.6"/>
    <d v="2003-06-16T00:00:00"/>
    <s v="Shipped"/>
    <n v="2"/>
    <n v="6"/>
    <n v="2003"/>
    <s v="Ships"/>
    <n v="86"/>
    <s v="S18_3029"/>
    <s v="Auto-Moto Classics Inc."/>
    <n v="6175558428"/>
    <s v="16780 Pompton St."/>
    <m/>
    <s v="Brickhaven"/>
    <s v="MA"/>
    <n v="58339"/>
    <s v="USA"/>
    <s v="NA"/>
    <s v="Taylor"/>
    <s v="Leslie"/>
    <s v="Medium"/>
    <s v=""/>
    <x v="9"/>
  </r>
  <r>
    <n v="10128"/>
    <n v="41"/>
    <n v="100"/>
    <n v="2"/>
    <n v="5544.02"/>
    <d v="2003-06-06T00:00:00"/>
    <s v="Shipped"/>
    <n v="2"/>
    <n v="6"/>
    <n v="2003"/>
    <s v="Vintage Cars"/>
    <n v="136"/>
    <s v="S18_3140"/>
    <s v="Euro Shopping Channel"/>
    <s v="(91) 555 94 44"/>
    <s v="C/ Moralzarzal, 86"/>
    <m/>
    <s v="Madrid"/>
    <m/>
    <n v="28034"/>
    <s v="Spain"/>
    <s v="EMEA"/>
    <s v="Freyre"/>
    <s v="Diego"/>
    <s v="Medium"/>
    <s v=""/>
    <x v="9"/>
  </r>
  <r>
    <n v="10166"/>
    <n v="43"/>
    <n v="100"/>
    <n v="2"/>
    <n v="6930.74"/>
    <d v="2003-10-21T00:00:00"/>
    <s v="Shipped"/>
    <n v="4"/>
    <n v="10"/>
    <n v="2003"/>
    <s v="Vintage Cars"/>
    <n v="136"/>
    <s v="S18_3140"/>
    <s v="FunGiftIdeas.com"/>
    <n v="5085552555"/>
    <s v="1785 First Street"/>
    <m/>
    <s v="New Bedford"/>
    <s v="MA"/>
    <n v="50553"/>
    <s v="USA"/>
    <s v="NA"/>
    <s v="Benitez"/>
    <s v="Violeta"/>
    <s v="Medium"/>
    <s v=""/>
    <x v="4"/>
  </r>
  <r>
    <n v="10177"/>
    <n v="23"/>
    <n v="100"/>
    <n v="9"/>
    <n v="3675.63"/>
    <d v="2003-11-07T00:00:00"/>
    <s v="Shipped"/>
    <n v="4"/>
    <n v="11"/>
    <n v="2003"/>
    <s v="Vintage Cars"/>
    <n v="136"/>
    <s v="S18_3140"/>
    <s v="CAF Imports"/>
    <s v="+34 913 728 555"/>
    <s v="Merchants House, 27-30 Merchant's Quay"/>
    <m/>
    <s v="Madrid"/>
    <m/>
    <n v="28023"/>
    <s v="Spain"/>
    <s v="EMEA"/>
    <s v="Fernandez"/>
    <s v="Jesus"/>
    <s v="Medium"/>
    <s v=""/>
    <x v="5"/>
  </r>
  <r>
    <n v="10221"/>
    <n v="33"/>
    <n v="100"/>
    <n v="3"/>
    <n v="4417.38"/>
    <d v="2004-02-18T00:00:00"/>
    <s v="Shipped"/>
    <n v="1"/>
    <n v="2"/>
    <n v="2004"/>
    <s v="Vintage Cars"/>
    <n v="136"/>
    <s v="S18_3140"/>
    <s v="Petit Auto"/>
    <s v="(02) 5554 67"/>
    <s v="Rue Joseph-Bens 532"/>
    <m/>
    <s v="Bruxelles"/>
    <m/>
    <s v="B-1180"/>
    <s v="Belgium"/>
    <s v="EMEA"/>
    <s v="Dewey"/>
    <s v="Catherine"/>
    <s v="Medium"/>
    <s v=""/>
    <x v="0"/>
  </r>
  <r>
    <n v="10232"/>
    <n v="22"/>
    <n v="100"/>
    <n v="6"/>
    <n v="3606.02"/>
    <d v="2004-03-20T00:00:00"/>
    <s v="Shipped"/>
    <n v="1"/>
    <n v="3"/>
    <n v="2004"/>
    <s v="Vintage Cars"/>
    <n v="136"/>
    <s v="S18_3140"/>
    <s v="giftsbymail.co.uk"/>
    <s v="(198) 555-8888"/>
    <s v="Garden House Crowther Way"/>
    <m/>
    <s v="Cowes"/>
    <s v="Isle of Wight"/>
    <s v="PO31 7PJ"/>
    <s v="UK"/>
    <s v="EMEA"/>
    <s v="Bennett"/>
    <s v="Helen"/>
    <s v="Medium"/>
    <s v=""/>
    <x v="11"/>
  </r>
  <r>
    <n v="10394"/>
    <n v="22"/>
    <n v="100"/>
    <n v="5"/>
    <n v="3353.02"/>
    <d v="2005-03-15T00:00:00"/>
    <s v="Shipped"/>
    <n v="1"/>
    <n v="3"/>
    <n v="2005"/>
    <s v="Classic Cars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Medium"/>
    <s v=""/>
    <x v="11"/>
  </r>
  <r>
    <n v="10326"/>
    <n v="32"/>
    <n v="100"/>
    <n v="6"/>
    <n v="3807.68"/>
    <d v="2004-11-09T00:00:00"/>
    <s v="Shipped"/>
    <n v="4"/>
    <n v="11"/>
    <n v="2004"/>
    <s v="Trains"/>
    <n v="100"/>
    <s v="S18_3259"/>
    <s v="Volvo Model Replicas, Co"/>
    <s v="0921-12 3555"/>
    <s v="Berguvsv„gen  8"/>
    <m/>
    <s v="Lule"/>
    <m/>
    <s v="S-958 22"/>
    <s v="Sweden"/>
    <s v="EMEA"/>
    <s v="Berglund"/>
    <s v="Christina"/>
    <s v="Medium"/>
    <s v=""/>
    <x v="5"/>
  </r>
  <r>
    <n v="10252"/>
    <n v="20"/>
    <n v="76.39"/>
    <n v="2"/>
    <n v="1527.8"/>
    <d v="2004-05-26T00:00:00"/>
    <s v="Shipped"/>
    <n v="2"/>
    <n v="5"/>
    <n v="2004"/>
    <s v="Classic Cars"/>
    <n v="80"/>
    <s v="S18_3278"/>
    <s v="Auto Canal Petit"/>
    <s v="(1) 47.55.6555"/>
    <s v="25, rue Lauriston"/>
    <m/>
    <s v="Paris"/>
    <m/>
    <n v="75016"/>
    <s v="France"/>
    <s v="EMEA"/>
    <s v="Perrier"/>
    <s v="Dominique"/>
    <s v="Small"/>
    <s v=""/>
    <x v="1"/>
  </r>
  <r>
    <n v="10265"/>
    <n v="45"/>
    <n v="86.84"/>
    <n v="2"/>
    <n v="3907.8"/>
    <d v="2004-07-02T00:00:00"/>
    <s v="Shipped"/>
    <n v="3"/>
    <n v="7"/>
    <n v="2004"/>
    <s v="Classic Cars"/>
    <n v="80"/>
    <s v="S18_3278"/>
    <s v="Australian Collectables, Ltd"/>
    <s v="61-9-3844-6555"/>
    <s v="7 Allen Street"/>
    <m/>
    <s v="Glen Waverly"/>
    <s v="Victoria"/>
    <n v="3150"/>
    <s v="Australia"/>
    <s v="APAC"/>
    <s v="Connery"/>
    <s v="Sean"/>
    <s v="Medium"/>
    <s v=""/>
    <x v="2"/>
  </r>
  <r>
    <n v="10290"/>
    <n v="26"/>
    <n v="96.23"/>
    <n v="2"/>
    <n v="2501.98"/>
    <d v="2004-09-07T00:00:00"/>
    <s v="Shipped"/>
    <n v="3"/>
    <n v="9"/>
    <n v="2004"/>
    <s v="Vintage Cars"/>
    <n v="99"/>
    <s v="S18_3320"/>
    <s v="Auto-Moto Classics Inc."/>
    <n v="6175558428"/>
    <s v="16780 Pompton St."/>
    <m/>
    <s v="Brickhaven"/>
    <s v="MA"/>
    <n v="58339"/>
    <s v="USA"/>
    <s v="NA"/>
    <s v="Taylor"/>
    <s v="Leslie"/>
    <s v="Small"/>
    <s v=""/>
    <x v="10"/>
  </r>
  <r>
    <n v="10323"/>
    <n v="33"/>
    <n v="91.27"/>
    <n v="2"/>
    <n v="3011.91"/>
    <d v="2004-11-05T00:00:00"/>
    <s v="Shipped"/>
    <n v="4"/>
    <n v="11"/>
    <n v="2004"/>
    <s v="Vintage Cars"/>
    <n v="99"/>
    <s v="S18_3320"/>
    <s v="Blauer See Auto, Co."/>
    <s v="+49 69 66 90 2555"/>
    <s v="Lyonerstr. 34"/>
    <m/>
    <s v="Frankfurt"/>
    <m/>
    <n v="60528"/>
    <s v="Germany"/>
    <s v="EMEA"/>
    <s v="Keitel"/>
    <s v="Roland"/>
    <s v="Medium"/>
    <s v=""/>
    <x v="5"/>
  </r>
  <r>
    <n v="10330"/>
    <n v="37"/>
    <n v="100"/>
    <n v="3"/>
    <n v="4405.22"/>
    <d v="2004-11-16T00:00:00"/>
    <s v="Shipped"/>
    <n v="4"/>
    <n v="11"/>
    <n v="2004"/>
    <s v="Classic Cars"/>
    <n v="146"/>
    <s v="S18_3482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  <s v=""/>
    <x v="5"/>
  </r>
  <r>
    <n v="10355"/>
    <n v="23"/>
    <n v="100"/>
    <n v="7"/>
    <n v="3177.91"/>
    <d v="2004-12-07T00:00:00"/>
    <s v="Shipped"/>
    <n v="4"/>
    <n v="12"/>
    <n v="2004"/>
    <s v="Classic Cars"/>
    <n v="146"/>
    <s v="S18_3482"/>
    <s v="Euro Shopping Channel"/>
    <s v="(91) 555 94 44"/>
    <s v="C/ Moralzarzal, 86"/>
    <m/>
    <s v="Madrid"/>
    <m/>
    <n v="28034"/>
    <s v="Spain"/>
    <s v="EMEA"/>
    <s v="Freyre"/>
    <s v="Diego"/>
    <s v="Medium"/>
    <s v=""/>
    <x v="6"/>
  </r>
  <r>
    <n v="10146"/>
    <n v="47"/>
    <n v="67.14"/>
    <n v="2"/>
    <n v="3155.58"/>
    <d v="2003-09-03T00:00:00"/>
    <s v="Shipped"/>
    <n v="3"/>
    <n v="9"/>
    <n v="2003"/>
    <s v="Motorcycles"/>
    <n v="62"/>
    <s v="S18_3782"/>
    <s v="Gift Ideas Corp."/>
    <n v="2035554407"/>
    <s v="2440 Pompton St."/>
    <m/>
    <s v="Glendale"/>
    <s v="CT"/>
    <n v="97561"/>
    <s v="USA"/>
    <s v="NA"/>
    <s v="Lewis"/>
    <s v="Dan"/>
    <s v="Medium"/>
    <s v=""/>
    <x v="10"/>
  </r>
  <r>
    <n v="10264"/>
    <n v="48"/>
    <n v="54.71"/>
    <n v="3"/>
    <n v="2626.08"/>
    <d v="2004-06-30T00:00:00"/>
    <s v="Shipped"/>
    <n v="2"/>
    <n v="6"/>
    <n v="2004"/>
    <s v="Motorcycles"/>
    <n v="62"/>
    <s v="S18_3782"/>
    <s v="Gifts4AllAges.com"/>
    <n v="6175559555"/>
    <s v="8616 Spinnaker Dr."/>
    <m/>
    <s v="Boston"/>
    <s v="MA"/>
    <n v="51003"/>
    <s v="USA"/>
    <s v="NA"/>
    <s v="Yoshido"/>
    <s v="Juri"/>
    <s v="Small"/>
    <s v=""/>
    <x v="9"/>
  </r>
  <r>
    <n v="10286"/>
    <n v="38"/>
    <n v="57.2"/>
    <n v="1"/>
    <n v="2173.6"/>
    <d v="2004-08-28T00:00:00"/>
    <s v="Shipped"/>
    <n v="3"/>
    <n v="8"/>
    <n v="2004"/>
    <s v="Motorcycles"/>
    <n v="62"/>
    <s v="S18_3782"/>
    <s v="La Corne D'abondance, Co."/>
    <s v="(1) 42.34.2555"/>
    <s v="265, boulevard Charonne"/>
    <m/>
    <s v="Paris"/>
    <m/>
    <n v="75012"/>
    <s v="France"/>
    <s v="EMEA"/>
    <s v="Bertrand"/>
    <s v="Marie"/>
    <s v="Small"/>
    <s v=""/>
    <x v="3"/>
  </r>
  <r>
    <n v="10249"/>
    <n v="46"/>
    <n v="100"/>
    <n v="5"/>
    <n v="5600.5"/>
    <d v="2004-05-08T00:00:00"/>
    <s v="Shipped"/>
    <n v="2"/>
    <n v="5"/>
    <n v="2004"/>
    <s v="Vintage Cars"/>
    <n v="105"/>
    <s v="S18_3856"/>
    <s v="Cambridge Collectables Co."/>
    <n v="6175555555"/>
    <s v="4658 Baden Av."/>
    <m/>
    <s v="Cambridge"/>
    <s v="MA"/>
    <n v="51247"/>
    <s v="USA"/>
    <s v="NA"/>
    <s v="Tseng"/>
    <s v="Kyung"/>
    <s v="Medium"/>
    <s v=""/>
    <x v="1"/>
  </r>
  <r>
    <n v="10328"/>
    <n v="34"/>
    <n v="100"/>
    <n v="6"/>
    <n v="3815.48"/>
    <d v="2004-11-12T00:00:00"/>
    <s v="Shipped"/>
    <n v="4"/>
    <n v="11"/>
    <n v="2004"/>
    <s v="Vintage Cars"/>
    <n v="105"/>
    <s v="S18_3856"/>
    <s v="Rovelli Gifts"/>
    <s v="035-640555"/>
    <s v="Via Ludovico il Moro 22"/>
    <m/>
    <s v="Bergamo"/>
    <m/>
    <n v="24100"/>
    <s v="Italy"/>
    <s v="EMEA"/>
    <s v="Rovelli"/>
    <s v="Giovanni"/>
    <s v="Medium"/>
    <s v=""/>
    <x v="5"/>
  </r>
  <r>
    <n v="10415"/>
    <n v="51"/>
    <n v="100"/>
    <n v="5"/>
    <n v="6209.25"/>
    <d v="2005-05-09T00:00:00"/>
    <s v="Disputed"/>
    <n v="2"/>
    <n v="5"/>
    <n v="2005"/>
    <s v="Vintage Cars"/>
    <n v="105"/>
    <s v="S18_3856"/>
    <s v="Australian Collectables, Ltd"/>
    <s v="61-9-3844-6555"/>
    <s v="7 Allen Street"/>
    <m/>
    <s v="Glen Waverly"/>
    <s v="Victoria"/>
    <n v="3150"/>
    <s v="Australia"/>
    <s v="APAC"/>
    <s v="Connery"/>
    <s v="Sean"/>
    <s v="Medium"/>
    <s v=""/>
    <x v="1"/>
  </r>
  <r>
    <n v="10152"/>
    <n v="35"/>
    <n v="100"/>
    <n v="1"/>
    <n v="4524.1000000000004"/>
    <d v="2003-09-25T00:00:00"/>
    <s v="Shipped"/>
    <n v="3"/>
    <n v="9"/>
    <n v="2003"/>
    <s v="Classic Cars"/>
    <n v="143"/>
    <s v="S18_4027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  <s v=""/>
    <x v="10"/>
  </r>
  <r>
    <n v="10213"/>
    <n v="38"/>
    <n v="94.79"/>
    <n v="1"/>
    <n v="3602.02"/>
    <d v="2004-01-22T00:00:00"/>
    <s v="Shipped"/>
    <n v="1"/>
    <n v="1"/>
    <n v="2004"/>
    <s v="Vintage Cars"/>
    <n v="92"/>
    <s v="S18_4409"/>
    <s v="Double Decker Gift Stores, Ltd"/>
    <s v="(171) 555-7555"/>
    <s v="120 Hanover Sq."/>
    <m/>
    <s v="London"/>
    <m/>
    <s v="WA1 1DP"/>
    <s v="UK"/>
    <s v="EMEA"/>
    <s v="Hardy"/>
    <s v="Thomas"/>
    <s v="Medium"/>
    <s v=""/>
    <x v="7"/>
  </r>
  <r>
    <n v="10315"/>
    <n v="36"/>
    <n v="100"/>
    <n v="7"/>
    <n v="3602.16"/>
    <d v="2004-10-29T00:00:00"/>
    <s v="Shipped"/>
    <n v="4"/>
    <n v="10"/>
    <n v="2004"/>
    <s v="Vintage Cars"/>
    <n v="87"/>
    <s v="S18_4522"/>
    <s v="La Rochelle Gifts"/>
    <s v="40.67.8555"/>
    <s v="67, rue des Cinquante Otages"/>
    <m/>
    <s v="Nantes"/>
    <m/>
    <n v="44000"/>
    <s v="France"/>
    <s v="EMEA"/>
    <s v="Labrune"/>
    <s v="Janine"/>
    <s v="Medium"/>
    <s v=""/>
    <x v="4"/>
  </r>
  <r>
    <n v="10267"/>
    <n v="36"/>
    <n v="75.55"/>
    <n v="1"/>
    <n v="2719.8"/>
    <d v="2004-07-07T00:00:00"/>
    <s v="Shipped"/>
    <n v="3"/>
    <n v="7"/>
    <n v="2004"/>
    <s v="Classic Cars"/>
    <n v="71"/>
    <s v="S18_4933"/>
    <s v="Muscle Machine Inc"/>
    <n v="2125557413"/>
    <s v="4092 Furth Circle"/>
    <s v="Suite 400"/>
    <s v="NYC"/>
    <s v="NY"/>
    <n v="10022"/>
    <s v="USA"/>
    <s v="NA"/>
    <s v="Young"/>
    <s v="Jeff"/>
    <s v="Small"/>
    <s v=""/>
    <x v="2"/>
  </r>
  <r>
    <n v="10279"/>
    <n v="26"/>
    <n v="60.58"/>
    <n v="1"/>
    <n v="1575.08"/>
    <d v="2004-08-09T00:00:00"/>
    <s v="Shipped"/>
    <n v="3"/>
    <n v="8"/>
    <n v="2004"/>
    <s v="Classic Cars"/>
    <n v="71"/>
    <s v="S18_4933"/>
    <s v="Euro Shopping Channel"/>
    <s v="(91) 555 94 44"/>
    <s v="C/ Moralzarzal, 86"/>
    <m/>
    <s v="Madrid"/>
    <m/>
    <n v="28034"/>
    <s v="Spain"/>
    <s v="EMEA"/>
    <s v="Freyre"/>
    <s v="Diego"/>
    <s v="Small"/>
    <s v=""/>
    <x v="3"/>
  </r>
  <r>
    <n v="10158"/>
    <n v="22"/>
    <n v="67.03"/>
    <n v="1"/>
    <n v="1474.66"/>
    <d v="2003-10-10T00:00:00"/>
    <s v="Shipped"/>
    <n v="4"/>
    <n v="10"/>
    <n v="2003"/>
    <s v="Motorcycles"/>
    <n v="76"/>
    <s v="S24_2000"/>
    <s v="Baane Mini Imports"/>
    <s v="07-98 9555"/>
    <s v="Erling Skakkes gate 78"/>
    <m/>
    <s v="Stavern"/>
    <m/>
    <n v="4110"/>
    <s v="Norway"/>
    <s v="EMEA"/>
    <s v="Bergulfsen"/>
    <s v="Jonas"/>
    <s v="Small"/>
    <s v=""/>
    <x v="4"/>
  </r>
  <r>
    <n v="10340"/>
    <n v="55"/>
    <n v="79.98"/>
    <n v="8"/>
    <n v="4398.8999999999996"/>
    <d v="2004-11-24T00:00:00"/>
    <s v="Shipped"/>
    <n v="4"/>
    <n v="11"/>
    <n v="2004"/>
    <s v="Motorcycles"/>
    <n v="76"/>
    <s v="S24_2000"/>
    <s v="Enaco Distributors"/>
    <s v="(93) 203 4555"/>
    <s v="Rambla de Catalu¤a, 23"/>
    <m/>
    <s v="Barcelona"/>
    <m/>
    <n v="8022"/>
    <s v="Spain"/>
    <s v="EMEA"/>
    <s v="Saavedra"/>
    <s v="Eduardo"/>
    <s v="Medium"/>
    <s v=""/>
    <x v="5"/>
  </r>
  <r>
    <n v="10345"/>
    <n v="43"/>
    <n v="53.76"/>
    <n v="1"/>
    <n v="2311.6799999999998"/>
    <d v="2004-11-25T00:00:00"/>
    <s v="Shipped"/>
    <n v="4"/>
    <n v="11"/>
    <n v="2004"/>
    <s v="Vintage Cars"/>
    <n v="44"/>
    <s v="S24_2022"/>
    <s v="Atelier graphique"/>
    <s v="40.32.2555"/>
    <s v="54, rue Royale"/>
    <m/>
    <s v="Nantes"/>
    <m/>
    <n v="44000"/>
    <s v="France"/>
    <s v="EMEA"/>
    <s v="Schmitt"/>
    <s v="Carine"/>
    <s v="Small"/>
    <s v=""/>
    <x v="5"/>
  </r>
  <r>
    <n v="10190"/>
    <n v="42"/>
    <n v="76.19"/>
    <n v="3"/>
    <n v="3199.98"/>
    <d v="2003-11-19T00:00:00"/>
    <s v="Shipped"/>
    <n v="4"/>
    <n v="11"/>
    <n v="2003"/>
    <s v="Motorcycles"/>
    <n v="69"/>
    <s v="S24_2360"/>
    <s v="Euro Shopping Channel"/>
    <s v="(91) 555 94 44"/>
    <s v="C/ Moralzarzal, 86"/>
    <m/>
    <s v="Madrid"/>
    <m/>
    <n v="28034"/>
    <s v="Spain"/>
    <s v="EMEA"/>
    <s v="Freyre"/>
    <s v="Diego"/>
    <s v="Medium"/>
    <s v=""/>
    <x v="5"/>
  </r>
  <r>
    <n v="10368"/>
    <n v="40"/>
    <n v="100"/>
    <n v="2"/>
    <n v="4107.2"/>
    <d v="2005-01-19T00:00:00"/>
    <s v="Shipped"/>
    <n v="1"/>
    <n v="1"/>
    <n v="2005"/>
    <s v="Classic Cars"/>
    <n v="90"/>
    <s v="S24_2766"/>
    <s v="Mini Gifts Distributors Ltd."/>
    <n v="4155551450"/>
    <s v="5677 Strong St."/>
    <m/>
    <s v="San Rafael"/>
    <s v="CA"/>
    <n v="97562"/>
    <s v="USA"/>
    <s v="NA"/>
    <s v="Nelson"/>
    <s v="Valarie"/>
    <s v="Medium"/>
    <s v=""/>
    <x v="7"/>
  </r>
  <r>
    <n v="10335"/>
    <n v="33"/>
    <n v="37.130000000000003"/>
    <n v="2"/>
    <n v="1225.29"/>
    <d v="2004-11-19T00:00:00"/>
    <s v="Shipped"/>
    <n v="4"/>
    <n v="11"/>
    <n v="2004"/>
    <s v="Classic Cars"/>
    <n v="35"/>
    <s v="S24_2840"/>
    <s v="Mini Gifts Distributors Ltd."/>
    <n v="4155551450"/>
    <s v="5677 Strong St."/>
    <m/>
    <s v="San Rafael"/>
    <s v="CA"/>
    <n v="97562"/>
    <s v="USA"/>
    <s v="NA"/>
    <s v="Nelson"/>
    <s v="Valarie"/>
    <s v="Small"/>
    <s v=""/>
    <x v="5"/>
  </r>
  <r>
    <n v="10154"/>
    <n v="31"/>
    <n v="91.17"/>
    <n v="2"/>
    <n v="2826.27"/>
    <d v="2003-10-02T00:00:00"/>
    <s v="Shipped"/>
    <n v="4"/>
    <n v="10"/>
    <n v="2003"/>
    <s v="Vintage Cars"/>
    <n v="88"/>
    <s v="S24_3151"/>
    <s v="Boards &amp; Toys Co."/>
    <n v="3105552373"/>
    <s v="4097 Douglas Av."/>
    <m/>
    <s v="Glendale"/>
    <s v="CA"/>
    <n v="92561"/>
    <s v="USA"/>
    <s v="NA"/>
    <s v="Young"/>
    <s v="Leslie"/>
    <s v="Small"/>
    <s v=""/>
    <x v="4"/>
  </r>
  <r>
    <n v="10233"/>
    <n v="40"/>
    <n v="94.71"/>
    <n v="2"/>
    <n v="3788.4"/>
    <d v="2004-03-29T00:00:00"/>
    <s v="Shipped"/>
    <n v="1"/>
    <n v="3"/>
    <n v="2004"/>
    <s v="Vintage Cars"/>
    <n v="88"/>
    <s v="S24_3151"/>
    <s v="Tekni Collectables Inc."/>
    <n v="2015559350"/>
    <s v="7476 Moss Rd."/>
    <m/>
    <s v="Newark"/>
    <s v="NJ"/>
    <n v="94019"/>
    <s v="USA"/>
    <s v="NA"/>
    <s v="Brown"/>
    <s v="William"/>
    <s v="Medium"/>
    <s v=""/>
    <x v="11"/>
  </r>
  <r>
    <n v="10385"/>
    <n v="37"/>
    <n v="85.54"/>
    <n v="2"/>
    <n v="3164.98"/>
    <d v="2005-02-28T00:00:00"/>
    <s v="Shipped"/>
    <n v="1"/>
    <n v="2"/>
    <n v="2005"/>
    <s v="Vintage Cars"/>
    <n v="83"/>
    <s v="S24_3816"/>
    <s v="Mini Gifts Distributors Ltd."/>
    <n v="4155551450"/>
    <s v="5677 Strong St."/>
    <m/>
    <s v="San Rafael"/>
    <s v="CA"/>
    <n v="97562"/>
    <s v="USA"/>
    <s v="NA"/>
    <s v="Nelson"/>
    <s v="Valarie"/>
    <s v="Medium"/>
    <s v=""/>
    <x v="0"/>
  </r>
  <r>
    <n v="10242"/>
    <n v="46"/>
    <n v="36.93"/>
    <n v="1"/>
    <n v="1698.78"/>
    <d v="2004-04-20T00:00:00"/>
    <s v="Shipped"/>
    <n v="2"/>
    <n v="4"/>
    <n v="2004"/>
    <s v="Vintage Cars"/>
    <n v="41"/>
    <s v="S24_3969"/>
    <s v="Microscale Inc."/>
    <n v="2125551957"/>
    <s v="5290 North Pendale Street"/>
    <s v="Suite 200"/>
    <s v="NYC"/>
    <s v="NY"/>
    <n v="10022"/>
    <s v="USA"/>
    <s v="NA"/>
    <s v="Kuo"/>
    <s v="Kee"/>
    <s v="Small"/>
    <s v=""/>
    <x v="8"/>
  </r>
  <r>
    <n v="10408"/>
    <n v="15"/>
    <n v="36.93"/>
    <n v="1"/>
    <n v="553.95000000000005"/>
    <d v="2005-04-22T00:00:00"/>
    <s v="Shipped"/>
    <n v="2"/>
    <n v="4"/>
    <n v="2005"/>
    <s v="Vintage Cars"/>
    <n v="41"/>
    <s v="S24_3969"/>
    <s v="Tokyo Collectables, Ltd"/>
    <s v="+81 3 3584 0555"/>
    <s v="2-2-8 Roppongi"/>
    <m/>
    <s v="Minato-ku"/>
    <s v="Tokyo"/>
    <s v="106-0032"/>
    <s v="Japan"/>
    <s v="Japan"/>
    <s v="Shimamura"/>
    <s v="Akiko"/>
    <s v="Small"/>
    <s v=""/>
    <x v="8"/>
  </r>
  <r>
    <n v="10317"/>
    <n v="35"/>
    <n v="83.32"/>
    <n v="1"/>
    <n v="2916.2"/>
    <d v="2004-11-02T00:00:00"/>
    <s v="Shipped"/>
    <n v="4"/>
    <n v="11"/>
    <n v="2004"/>
    <s v="Planes"/>
    <n v="72"/>
    <s v="S24_4278"/>
    <s v="Technics Stores Inc."/>
    <n v="6505556809"/>
    <s v="9408 Furth Circle"/>
    <m/>
    <s v="Burlingame"/>
    <s v="CA"/>
    <n v="94217"/>
    <s v="USA"/>
    <s v="NA"/>
    <s v="Hirano"/>
    <s v="Juri"/>
    <s v="Small"/>
    <s v=""/>
    <x v="5"/>
  </r>
  <r>
    <n v="10387"/>
    <n v="44"/>
    <n v="94.9"/>
    <n v="1"/>
    <n v="4175.6000000000004"/>
    <d v="2005-03-02T00:00:00"/>
    <s v="Shipped"/>
    <n v="1"/>
    <n v="3"/>
    <n v="2005"/>
    <s v="Motorcycles"/>
    <n v="99"/>
    <s v="S32_1374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s v=""/>
    <x v="11"/>
  </r>
  <r>
    <n v="10364"/>
    <n v="48"/>
    <n v="48.28"/>
    <n v="1"/>
    <n v="2317.44"/>
    <d v="2005-01-06T00:00:00"/>
    <s v="Shipped"/>
    <n v="1"/>
    <n v="1"/>
    <n v="2005"/>
    <s v="Motorcycles"/>
    <n v="40"/>
    <s v="S32_2206"/>
    <s v="Marseille Mini Autos"/>
    <s v="91.24.4555"/>
    <s v="12, rue des Bouchers"/>
    <m/>
    <s v="Marseille"/>
    <m/>
    <n v="13008"/>
    <s v="France"/>
    <s v="EMEA"/>
    <s v="Lebihan"/>
    <s v="Laurence"/>
    <s v="Small"/>
    <s v=""/>
    <x v="7"/>
  </r>
  <r>
    <n v="10116"/>
    <n v="27"/>
    <n v="63.38"/>
    <n v="1"/>
    <n v="1711.26"/>
    <d v="2003-04-11T00:00:00"/>
    <s v="Shipped"/>
    <n v="2"/>
    <n v="4"/>
    <n v="2003"/>
    <s v="Trains"/>
    <n v="62"/>
    <s v="S32_3207"/>
    <s v="Royale Belge"/>
    <s v="(071) 23 67 2555"/>
    <s v="Boulevard Tirou, 255"/>
    <m/>
    <s v="Charleroi"/>
    <m/>
    <s v="B-6000"/>
    <s v="Belgium"/>
    <s v="EMEA"/>
    <s v="Cartrain"/>
    <s v="Pascale"/>
    <s v="Small"/>
    <s v=""/>
    <x v="8"/>
  </r>
  <r>
    <n v="10144"/>
    <n v="20"/>
    <n v="81.86"/>
    <n v="1"/>
    <n v="1637.2"/>
    <d v="2003-08-13T00:00:00"/>
    <s v="Shipped"/>
    <n v="3"/>
    <n v="8"/>
    <n v="2003"/>
    <s v="Vintage Cars"/>
    <n v="68"/>
    <s v="S32_4289"/>
    <s v="Royale Belge"/>
    <s v="(071) 23 67 2555"/>
    <s v="Boulevard Tirou, 255"/>
    <m/>
    <s v="Charleroi"/>
    <m/>
    <s v="B-6000"/>
    <s v="Belgium"/>
    <s v="EMEA"/>
    <s v="Cartrain"/>
    <s v="Pascale"/>
    <s v="Small"/>
    <s v=""/>
    <x v="3"/>
  </r>
  <r>
    <n v="10156"/>
    <n v="20"/>
    <n v="41.02"/>
    <n v="1"/>
    <n v="820.4"/>
    <d v="2003-10-08T00:00:00"/>
    <s v="Shipped"/>
    <n v="4"/>
    <n v="10"/>
    <n v="2003"/>
    <s v="Vintage Cars"/>
    <n v="43"/>
    <s v="S50_1341"/>
    <s v="Euro Shopping Channel"/>
    <s v="(91) 555 94 44"/>
    <s v="C/ Moralzarzal, 86"/>
    <m/>
    <s v="Madrid"/>
    <m/>
    <n v="28034"/>
    <s v="Spain"/>
    <s v="EMEA"/>
    <s v="Freyre"/>
    <s v="Diego"/>
    <s v="Small"/>
    <s v=""/>
    <x v="4"/>
  </r>
  <r>
    <n v="10199"/>
    <n v="29"/>
    <n v="38.4"/>
    <n v="1"/>
    <n v="1113.5999999999999"/>
    <d v="2003-12-01T00:00:00"/>
    <s v="Shipped"/>
    <n v="4"/>
    <n v="12"/>
    <n v="2003"/>
    <s v="Vintage Cars"/>
    <n v="43"/>
    <s v="S50_1341"/>
    <s v="West Coast Collectables Co."/>
    <n v="3105553722"/>
    <s v="3675 Furth Circle"/>
    <m/>
    <s v="Burbank"/>
    <s v="CA"/>
    <n v="94019"/>
    <s v="USA"/>
    <s v="NA"/>
    <s v="Thompson"/>
    <s v="Steve"/>
    <s v="Small"/>
    <s v=""/>
    <x v="6"/>
  </r>
  <r>
    <n v="10397"/>
    <n v="32"/>
    <n v="80.55"/>
    <n v="5"/>
    <n v="2577.6"/>
    <d v="2005-03-28T00:00:00"/>
    <s v="Shipped"/>
    <n v="1"/>
    <n v="3"/>
    <n v="2005"/>
    <s v="Ships"/>
    <n v="86"/>
    <s v="S700_1938"/>
    <s v="Alpha Cognac"/>
    <s v="61.77.6555"/>
    <s v="1 rue Alsace-Lorraine"/>
    <m/>
    <s v="Toulouse"/>
    <m/>
    <n v="31000"/>
    <s v="France"/>
    <s v="EMEA"/>
    <s v="Roulet"/>
    <s v="Annette"/>
    <s v="Small"/>
    <s v=""/>
    <x v="11"/>
  </r>
  <r>
    <n v="10352"/>
    <n v="23"/>
    <n v="100"/>
    <n v="3"/>
    <n v="2352.67"/>
    <d v="2004-12-03T00:00:00"/>
    <s v="Shipped"/>
    <n v="4"/>
    <n v="12"/>
    <n v="2004"/>
    <s v="Ships"/>
    <n v="90"/>
    <s v="S700_2047"/>
    <s v="Auto-Moto Classics Inc."/>
    <n v="6175558428"/>
    <s v="16780 Pompton St."/>
    <m/>
    <s v="Brickhaven"/>
    <s v="MA"/>
    <n v="58339"/>
    <s v="USA"/>
    <s v="NA"/>
    <s v="Taylor"/>
    <s v="Leslie"/>
    <s v="Small"/>
    <s v=""/>
    <x v="6"/>
  </r>
  <r>
    <n v="10118"/>
    <n v="36"/>
    <n v="100"/>
    <n v="1"/>
    <n v="4219.2"/>
    <d v="2003-04-21T00:00:00"/>
    <s v="Shipped"/>
    <n v="2"/>
    <n v="4"/>
    <n v="2003"/>
    <s v="Ships"/>
    <n v="100"/>
    <s v="S700_3505"/>
    <s v="Enaco Distributors"/>
    <s v="(93) 203 4555"/>
    <s v="Rambla de Catalu¤a, 23"/>
    <m/>
    <s v="Barcelona"/>
    <m/>
    <n v="8022"/>
    <s v="Spain"/>
    <s v="EMEA"/>
    <s v="Saavedra"/>
    <s v="Eduardo"/>
    <s v="Medium"/>
    <s v=""/>
    <x v="8"/>
  </r>
  <r>
    <n v="10294"/>
    <n v="45"/>
    <n v="100"/>
    <n v="1"/>
    <n v="4692.6000000000004"/>
    <d v="2004-09-10T00:00:00"/>
    <s v="Shipped"/>
    <n v="3"/>
    <n v="9"/>
    <n v="2004"/>
    <s v="Ships"/>
    <n v="99"/>
    <s v="S700_3962"/>
    <s v="Online Mini Collectables"/>
    <n v="6175557555"/>
    <s v="7635 Spinnaker Dr."/>
    <m/>
    <s v="Brickhaven"/>
    <s v="MA"/>
    <n v="58339"/>
    <s v="USA"/>
    <s v="NA"/>
    <s v="Barajas"/>
    <s v="Miguel"/>
    <s v="Medium"/>
    <s v="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2F965-A4B8-4771-A70D-4A088E413ECD}" name="PivotTable1" cacheId="15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1" firstHeaderRow="1" firstDataRow="1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8">
        <item x="1"/>
        <item x="0"/>
        <item x="4"/>
        <item x="5"/>
        <item x="6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 numFmtId="166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A9D78-85A1-4AEF-A6EE-3798071BD319}" name="PivotTable6" cacheId="12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27"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</pivotFields>
  <rowFields count="1">
    <field x="2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4" baseField="0" baseItem="0" numFmtId="166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_ID" xr10:uid="{F27286C7-6238-4E0D-9445-D4B31A4C75DC}" sourceName="YEAR_ID">
  <pivotTables>
    <pivotTable tabId="2" name="PivotTable1"/>
  </pivotTables>
  <data>
    <tabular pivotCacheId="57423667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LINE" xr10:uid="{3F856634-FF56-4B37-AE0A-B88577C5D4D5}" sourceName="PRODUCTLINE">
  <pivotTables>
    <pivotTable tabId="2" name="PivotTable1"/>
  </pivotTables>
  <data>
    <tabular pivotCacheId="57423667">
      <items count="7">
        <i x="1" s="1"/>
        <i x="0" s="1"/>
        <i x="4" s="1"/>
        <i x="5" s="1"/>
        <i x="6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51FA7345-688B-4D1C-B037-757D0D44442B}" sourceName="COUNTRY">
  <pivotTables>
    <pivotTable tabId="2" name="PivotTable1"/>
  </pivotTables>
  <data>
    <tabular pivotCacheId="57423667">
      <items count="19">
        <i x="3" s="1"/>
        <i x="5" s="1"/>
        <i x="14" s="1"/>
        <i x="10" s="1"/>
        <i x="13" s="1"/>
        <i x="4" s="1"/>
        <i x="1" s="1"/>
        <i x="16" s="1"/>
        <i x="18" s="1"/>
        <i x="12" s="1"/>
        <i x="11" s="1"/>
        <i x="2" s="1"/>
        <i x="15" s="1"/>
        <i x="9" s="1"/>
        <i x="7" s="1"/>
        <i x="8" s="1"/>
        <i x="17" s="1"/>
        <i x="6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_ID" xr10:uid="{FA3AE063-70C6-4519-A943-9615CC03B0E6}" cache="Slicer_YEAR_ID" caption="YEAR_ID" rowHeight="228600"/>
  <slicer name="PRODUCTLINE" xr10:uid="{16E91E2A-3AF6-4354-B2C9-BD3C137F1FC9}" cache="Slicer_PRODUCTLINE" caption="PRODUCTLINE" rowHeight="228600"/>
  <slicer name="COUNTRY" xr10:uid="{4BC4BD3D-DDD8-423B-820C-74C206049BE0}" cache="Slicer_COUNTRY" caption="COUNTRY" startItem="9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BBC38D-0716-44A3-BEA0-CEC6E4740AA4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198d-KHWFRA_DT-pMpoG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F725-165F-4C35-AE12-88EE126163BC}">
  <dimension ref="B2:K3"/>
  <sheetViews>
    <sheetView showGridLines="0" tabSelected="1" topLeftCell="A5" workbookViewId="0">
      <selection activeCell="K3" sqref="K3"/>
    </sheetView>
  </sheetViews>
  <sheetFormatPr defaultRowHeight="15"/>
  <cols>
    <col min="1" max="1" width="4.85546875" customWidth="1"/>
    <col min="2" max="2" width="37.42578125" customWidth="1"/>
    <col min="3" max="3" width="1.7109375" customWidth="1"/>
    <col min="4" max="4" width="1.85546875" customWidth="1"/>
    <col min="5" max="5" width="34.140625" bestFit="1" customWidth="1"/>
    <col min="6" max="6" width="2.28515625" customWidth="1"/>
    <col min="7" max="7" width="1.5703125" customWidth="1"/>
    <col min="8" max="8" width="24.28515625" bestFit="1" customWidth="1"/>
  </cols>
  <sheetData>
    <row r="2" spans="2:11" ht="36">
      <c r="B2" s="5">
        <f>SUM(Sales_Data!E:E)</f>
        <v>1408665.48</v>
      </c>
      <c r="E2" s="7" t="s">
        <v>0</v>
      </c>
      <c r="H2" s="7" t="s">
        <v>1</v>
      </c>
    </row>
    <row r="3" spans="2:11" ht="31.5">
      <c r="B3" s="6" t="s">
        <v>2</v>
      </c>
      <c r="E3" s="6" t="s">
        <v>3</v>
      </c>
      <c r="H3" s="6" t="s">
        <v>4</v>
      </c>
      <c r="K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43D3-C465-4A3C-BE2B-F8262C32EFDA}">
  <dimension ref="A3:B11"/>
  <sheetViews>
    <sheetView workbookViewId="0">
      <selection activeCell="R6" sqref="R6"/>
    </sheetView>
  </sheetViews>
  <sheetFormatPr defaultRowHeight="15"/>
  <cols>
    <col min="1" max="1" width="16.7109375" bestFit="1" customWidth="1"/>
    <col min="2" max="2" width="13.42578125" bestFit="1" customWidth="1"/>
  </cols>
  <sheetData>
    <row r="3" spans="1:2">
      <c r="A3" s="2" t="s">
        <v>5</v>
      </c>
      <c r="B3" t="s">
        <v>6</v>
      </c>
    </row>
    <row r="4" spans="1:2">
      <c r="A4" t="s">
        <v>0</v>
      </c>
      <c r="B4" s="1">
        <v>862876.90000000061</v>
      </c>
    </row>
    <row r="5" spans="1:2">
      <c r="A5" t="s">
        <v>7</v>
      </c>
      <c r="B5" s="1">
        <v>169340.02</v>
      </c>
    </row>
    <row r="6" spans="1:2">
      <c r="A6" t="s">
        <v>8</v>
      </c>
      <c r="B6" s="1">
        <v>87578.14</v>
      </c>
    </row>
    <row r="7" spans="1:2">
      <c r="A7" t="s">
        <v>9</v>
      </c>
      <c r="B7" s="1">
        <v>17695.669999999998</v>
      </c>
    </row>
    <row r="8" spans="1:2">
      <c r="A8" t="s">
        <v>10</v>
      </c>
      <c r="B8" s="1">
        <v>5518.94</v>
      </c>
    </row>
    <row r="9" spans="1:2">
      <c r="A9" t="s">
        <v>11</v>
      </c>
      <c r="B9" s="1">
        <v>56311.839999999989</v>
      </c>
    </row>
    <row r="10" spans="1:2">
      <c r="A10" t="s">
        <v>12</v>
      </c>
      <c r="B10" s="1">
        <v>209343.97</v>
      </c>
    </row>
    <row r="11" spans="1:2">
      <c r="A11" t="s">
        <v>13</v>
      </c>
      <c r="B11" s="1">
        <v>1408665.4800000004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019D-8714-401E-AA19-219542D55D04}">
  <dimension ref="A3:B16"/>
  <sheetViews>
    <sheetView workbookViewId="0">
      <selection activeCell="E28" sqref="E28"/>
    </sheetView>
  </sheetViews>
  <sheetFormatPr defaultRowHeight="15"/>
  <cols>
    <col min="1" max="1" width="11.42578125" bestFit="1" customWidth="1"/>
    <col min="2" max="2" width="13.42578125" bestFit="1" customWidth="1"/>
  </cols>
  <sheetData>
    <row r="3" spans="1:2">
      <c r="A3" s="2" t="s">
        <v>14</v>
      </c>
      <c r="B3" t="s">
        <v>6</v>
      </c>
    </row>
    <row r="4" spans="1:2">
      <c r="A4" t="s">
        <v>15</v>
      </c>
      <c r="B4" s="1">
        <v>109979.68999999999</v>
      </c>
    </row>
    <row r="5" spans="1:2">
      <c r="A5" t="s">
        <v>16</v>
      </c>
      <c r="B5" s="1">
        <v>114294.27000000002</v>
      </c>
    </row>
    <row r="6" spans="1:2">
      <c r="A6" t="s">
        <v>17</v>
      </c>
      <c r="B6" s="1">
        <v>106581.90000000002</v>
      </c>
    </row>
    <row r="7" spans="1:2">
      <c r="A7" t="s">
        <v>18</v>
      </c>
      <c r="B7" s="1">
        <v>112145.02999999998</v>
      </c>
    </row>
    <row r="8" spans="1:2">
      <c r="A8" t="s">
        <v>19</v>
      </c>
      <c r="B8" s="1">
        <v>146003.9</v>
      </c>
    </row>
    <row r="9" spans="1:2">
      <c r="A9" t="s">
        <v>20</v>
      </c>
      <c r="B9" s="1">
        <v>74518.270000000019</v>
      </c>
    </row>
    <row r="10" spans="1:2">
      <c r="A10" t="s">
        <v>21</v>
      </c>
      <c r="B10" s="1">
        <v>76429.62</v>
      </c>
    </row>
    <row r="11" spans="1:2">
      <c r="A11" t="s">
        <v>22</v>
      </c>
      <c r="B11" s="1">
        <v>80698.98</v>
      </c>
    </row>
    <row r="12" spans="1:2">
      <c r="A12" t="s">
        <v>23</v>
      </c>
      <c r="B12" s="1">
        <v>94750.5</v>
      </c>
    </row>
    <row r="13" spans="1:2">
      <c r="A13" t="s">
        <v>24</v>
      </c>
      <c r="B13" s="1">
        <v>156925.06999999998</v>
      </c>
    </row>
    <row r="14" spans="1:2">
      <c r="A14" t="s">
        <v>25</v>
      </c>
      <c r="B14" s="1">
        <v>270092.26</v>
      </c>
    </row>
    <row r="15" spans="1:2">
      <c r="A15" t="s">
        <v>26</v>
      </c>
      <c r="B15" s="1">
        <v>66245.990000000005</v>
      </c>
    </row>
    <row r="16" spans="1:2">
      <c r="A16" t="s">
        <v>13</v>
      </c>
      <c r="B16" s="1">
        <v>1408665.48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8471-DA90-479B-9CD7-D9225A426AE4}">
  <dimension ref="A1:AA2824"/>
  <sheetViews>
    <sheetView workbookViewId="0">
      <selection activeCell="AF25" sqref="AF25"/>
    </sheetView>
  </sheetViews>
  <sheetFormatPr defaultRowHeight="15"/>
  <cols>
    <col min="5" max="5" width="10.5703125" style="1" bestFit="1" customWidth="1"/>
    <col min="6" max="6" width="16.42578125" style="3" customWidth="1"/>
  </cols>
  <sheetData>
    <row r="1" spans="1:27">
      <c r="A1" t="s">
        <v>27</v>
      </c>
      <c r="B1" t="s">
        <v>28</v>
      </c>
      <c r="C1" t="s">
        <v>29</v>
      </c>
      <c r="D1" t="s">
        <v>30</v>
      </c>
      <c r="E1" s="1" t="s">
        <v>31</v>
      </c>
      <c r="F1" s="3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5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s="4" t="s">
        <v>14</v>
      </c>
    </row>
    <row r="2" spans="1:27">
      <c r="A2">
        <v>10107</v>
      </c>
      <c r="B2">
        <v>30</v>
      </c>
      <c r="C2">
        <v>95.7</v>
      </c>
      <c r="D2">
        <v>2</v>
      </c>
      <c r="E2" s="1">
        <v>2871</v>
      </c>
      <c r="F2" s="3">
        <v>37676</v>
      </c>
      <c r="G2" t="s">
        <v>52</v>
      </c>
      <c r="H2">
        <v>1</v>
      </c>
      <c r="I2">
        <v>2</v>
      </c>
      <c r="J2">
        <v>2003</v>
      </c>
      <c r="K2" t="s">
        <v>7</v>
      </c>
      <c r="L2">
        <v>95</v>
      </c>
      <c r="M2" t="s">
        <v>53</v>
      </c>
      <c r="N2" t="s">
        <v>54</v>
      </c>
      <c r="O2">
        <v>2125557818</v>
      </c>
      <c r="P2" t="s">
        <v>55</v>
      </c>
      <c r="R2" t="s">
        <v>56</v>
      </c>
      <c r="S2" t="s">
        <v>57</v>
      </c>
      <c r="T2">
        <v>10022</v>
      </c>
      <c r="U2" t="s">
        <v>1</v>
      </c>
      <c r="V2" t="s">
        <v>58</v>
      </c>
      <c r="W2" t="s">
        <v>59</v>
      </c>
      <c r="X2" t="s">
        <v>60</v>
      </c>
      <c r="Y2" t="s">
        <v>61</v>
      </c>
      <c r="Z2" t="str">
        <f>IF(COUNTA(A2:Y2)=0,"Blank","")</f>
        <v/>
      </c>
      <c r="AA2" s="4" t="str">
        <f>TEXT(F2,"mmmm")</f>
        <v>February</v>
      </c>
    </row>
    <row r="3" spans="1:27">
      <c r="A3">
        <v>10121</v>
      </c>
      <c r="B3">
        <v>34</v>
      </c>
      <c r="C3">
        <v>81.349999999999994</v>
      </c>
      <c r="D3">
        <v>5</v>
      </c>
      <c r="E3" s="1">
        <v>2765.9</v>
      </c>
      <c r="F3" s="3">
        <v>37748</v>
      </c>
      <c r="G3" t="s">
        <v>52</v>
      </c>
      <c r="H3">
        <v>2</v>
      </c>
      <c r="I3">
        <v>5</v>
      </c>
      <c r="J3">
        <v>2003</v>
      </c>
      <c r="K3" t="s">
        <v>7</v>
      </c>
      <c r="L3">
        <v>95</v>
      </c>
      <c r="M3" t="s">
        <v>53</v>
      </c>
      <c r="N3" t="s">
        <v>62</v>
      </c>
      <c r="O3" t="s">
        <v>63</v>
      </c>
      <c r="P3" t="s">
        <v>64</v>
      </c>
      <c r="R3" t="s">
        <v>65</v>
      </c>
      <c r="T3">
        <v>51100</v>
      </c>
      <c r="U3" t="s">
        <v>66</v>
      </c>
      <c r="V3" t="s">
        <v>67</v>
      </c>
      <c r="W3" t="s">
        <v>68</v>
      </c>
      <c r="X3" t="s">
        <v>69</v>
      </c>
      <c r="Y3" t="s">
        <v>61</v>
      </c>
      <c r="Z3" t="str">
        <f>IF(COUNTA(A3:Y3)=0,"Blank","")</f>
        <v/>
      </c>
      <c r="AA3" s="4" t="str">
        <f>TEXT(F3,"mmmm")</f>
        <v>May</v>
      </c>
    </row>
    <row r="4" spans="1:27">
      <c r="A4">
        <v>10134</v>
      </c>
      <c r="B4">
        <v>41</v>
      </c>
      <c r="C4">
        <v>94.74</v>
      </c>
      <c r="D4">
        <v>2</v>
      </c>
      <c r="E4" s="1">
        <v>3884.34</v>
      </c>
      <c r="F4" s="3">
        <v>37803</v>
      </c>
      <c r="G4" t="s">
        <v>52</v>
      </c>
      <c r="H4">
        <v>3</v>
      </c>
      <c r="I4">
        <v>7</v>
      </c>
      <c r="J4">
        <v>2003</v>
      </c>
      <c r="K4" t="s">
        <v>7</v>
      </c>
      <c r="L4">
        <v>95</v>
      </c>
      <c r="M4" t="s">
        <v>53</v>
      </c>
      <c r="N4" t="s">
        <v>70</v>
      </c>
      <c r="O4" t="s">
        <v>71</v>
      </c>
      <c r="P4" t="s">
        <v>72</v>
      </c>
      <c r="R4" t="s">
        <v>73</v>
      </c>
      <c r="T4">
        <v>75508</v>
      </c>
      <c r="U4" t="s">
        <v>66</v>
      </c>
      <c r="V4" t="s">
        <v>67</v>
      </c>
      <c r="W4" t="s">
        <v>74</v>
      </c>
      <c r="X4" t="s">
        <v>75</v>
      </c>
      <c r="Y4" t="s">
        <v>76</v>
      </c>
      <c r="Z4" t="str">
        <f>IF(COUNTA(A4:Y4)=0,"Blank","")</f>
        <v/>
      </c>
      <c r="AA4" s="4" t="str">
        <f>TEXT(F4,"mmmm")</f>
        <v>July</v>
      </c>
    </row>
    <row r="5" spans="1:27">
      <c r="A5">
        <v>10145</v>
      </c>
      <c r="B5">
        <v>45</v>
      </c>
      <c r="C5">
        <v>83.26</v>
      </c>
      <c r="D5">
        <v>6</v>
      </c>
      <c r="E5" s="1">
        <v>3746.7</v>
      </c>
      <c r="F5" s="3">
        <v>37858</v>
      </c>
      <c r="G5" t="s">
        <v>52</v>
      </c>
      <c r="H5">
        <v>3</v>
      </c>
      <c r="I5">
        <v>8</v>
      </c>
      <c r="J5">
        <v>2003</v>
      </c>
      <c r="K5" t="s">
        <v>7</v>
      </c>
      <c r="L5">
        <v>95</v>
      </c>
      <c r="M5" t="s">
        <v>53</v>
      </c>
      <c r="N5" t="s">
        <v>77</v>
      </c>
      <c r="O5">
        <v>6265557265</v>
      </c>
      <c r="P5" t="s">
        <v>78</v>
      </c>
      <c r="R5" t="s">
        <v>79</v>
      </c>
      <c r="S5" t="s">
        <v>80</v>
      </c>
      <c r="T5">
        <v>90003</v>
      </c>
      <c r="U5" t="s">
        <v>1</v>
      </c>
      <c r="V5" t="s">
        <v>58</v>
      </c>
      <c r="W5" t="s">
        <v>81</v>
      </c>
      <c r="X5" t="s">
        <v>82</v>
      </c>
      <c r="Y5" t="s">
        <v>76</v>
      </c>
      <c r="Z5" t="str">
        <f>IF(COUNTA(A5:Y5)=0,"Blank","")</f>
        <v/>
      </c>
      <c r="AA5" s="4" t="str">
        <f>TEXT(F5,"mmmm")</f>
        <v>August</v>
      </c>
    </row>
    <row r="6" spans="1:27">
      <c r="A6">
        <v>10159</v>
      </c>
      <c r="B6">
        <v>49</v>
      </c>
      <c r="C6">
        <v>100</v>
      </c>
      <c r="D6">
        <v>14</v>
      </c>
      <c r="E6" s="1">
        <v>5205.2700000000004</v>
      </c>
      <c r="F6" s="3">
        <v>37904</v>
      </c>
      <c r="G6" t="s">
        <v>52</v>
      </c>
      <c r="H6">
        <v>4</v>
      </c>
      <c r="I6">
        <v>10</v>
      </c>
      <c r="J6">
        <v>2003</v>
      </c>
      <c r="K6" t="s">
        <v>7</v>
      </c>
      <c r="L6">
        <v>95</v>
      </c>
      <c r="M6" t="s">
        <v>53</v>
      </c>
      <c r="N6" t="s">
        <v>83</v>
      </c>
      <c r="O6">
        <v>6505551386</v>
      </c>
      <c r="P6" t="s">
        <v>84</v>
      </c>
      <c r="R6" t="s">
        <v>85</v>
      </c>
      <c r="S6" t="s">
        <v>80</v>
      </c>
      <c r="U6" t="s">
        <v>1</v>
      </c>
      <c r="V6" t="s">
        <v>58</v>
      </c>
      <c r="W6" t="s">
        <v>86</v>
      </c>
      <c r="X6" t="s">
        <v>82</v>
      </c>
      <c r="Y6" t="s">
        <v>76</v>
      </c>
      <c r="Z6" t="str">
        <f>IF(COUNTA(A6:Y6)=0,"Blank","")</f>
        <v/>
      </c>
      <c r="AA6" s="4" t="str">
        <f>TEXT(F6,"mmmm")</f>
        <v>October</v>
      </c>
    </row>
    <row r="7" spans="1:27">
      <c r="A7">
        <v>10168</v>
      </c>
      <c r="B7">
        <v>36</v>
      </c>
      <c r="C7">
        <v>96.66</v>
      </c>
      <c r="D7">
        <v>1</v>
      </c>
      <c r="E7" s="1">
        <v>3479.76</v>
      </c>
      <c r="F7" s="3">
        <v>37922</v>
      </c>
      <c r="G7" t="s">
        <v>52</v>
      </c>
      <c r="H7">
        <v>4</v>
      </c>
      <c r="I7">
        <v>10</v>
      </c>
      <c r="J7">
        <v>2003</v>
      </c>
      <c r="K7" t="s">
        <v>7</v>
      </c>
      <c r="L7">
        <v>95</v>
      </c>
      <c r="M7" t="s">
        <v>53</v>
      </c>
      <c r="N7" t="s">
        <v>87</v>
      </c>
      <c r="O7">
        <v>6505556809</v>
      </c>
      <c r="P7" t="s">
        <v>88</v>
      </c>
      <c r="R7" t="s">
        <v>89</v>
      </c>
      <c r="S7" t="s">
        <v>80</v>
      </c>
      <c r="T7">
        <v>94217</v>
      </c>
      <c r="U7" t="s">
        <v>1</v>
      </c>
      <c r="V7" t="s">
        <v>58</v>
      </c>
      <c r="W7" t="s">
        <v>90</v>
      </c>
      <c r="X7" t="s">
        <v>91</v>
      </c>
      <c r="Y7" t="s">
        <v>76</v>
      </c>
      <c r="Z7" t="str">
        <f>IF(COUNTA(A7:Y7)=0,"Blank","")</f>
        <v/>
      </c>
      <c r="AA7" s="4" t="str">
        <f>TEXT(F7,"mmmm")</f>
        <v>October</v>
      </c>
    </row>
    <row r="8" spans="1:27">
      <c r="A8">
        <v>10180</v>
      </c>
      <c r="B8">
        <v>29</v>
      </c>
      <c r="C8">
        <v>86.13</v>
      </c>
      <c r="D8">
        <v>9</v>
      </c>
      <c r="E8" s="1">
        <v>2497.77</v>
      </c>
      <c r="F8" s="3">
        <v>37936</v>
      </c>
      <c r="G8" t="s">
        <v>52</v>
      </c>
      <c r="H8">
        <v>4</v>
      </c>
      <c r="I8">
        <v>11</v>
      </c>
      <c r="J8">
        <v>2003</v>
      </c>
      <c r="K8" t="s">
        <v>7</v>
      </c>
      <c r="L8">
        <v>95</v>
      </c>
      <c r="M8" t="s">
        <v>53</v>
      </c>
      <c r="N8" t="s">
        <v>92</v>
      </c>
      <c r="O8" t="s">
        <v>93</v>
      </c>
      <c r="P8" t="s">
        <v>94</v>
      </c>
      <c r="R8" t="s">
        <v>95</v>
      </c>
      <c r="T8">
        <v>59000</v>
      </c>
      <c r="U8" t="s">
        <v>66</v>
      </c>
      <c r="V8" t="s">
        <v>67</v>
      </c>
      <c r="W8" t="s">
        <v>96</v>
      </c>
      <c r="X8" t="s">
        <v>97</v>
      </c>
      <c r="Y8" t="s">
        <v>61</v>
      </c>
      <c r="Z8" t="str">
        <f>IF(COUNTA(A8:Y8)=0,"Blank","")</f>
        <v/>
      </c>
      <c r="AA8" s="4" t="str">
        <f>TEXT(F8,"mmmm")</f>
        <v>November</v>
      </c>
    </row>
    <row r="9" spans="1:27">
      <c r="A9">
        <v>10188</v>
      </c>
      <c r="B9">
        <v>48</v>
      </c>
      <c r="C9">
        <v>100</v>
      </c>
      <c r="D9">
        <v>1</v>
      </c>
      <c r="E9" s="1">
        <v>5512.32</v>
      </c>
      <c r="F9" s="3">
        <v>37943</v>
      </c>
      <c r="G9" t="s">
        <v>52</v>
      </c>
      <c r="H9">
        <v>4</v>
      </c>
      <c r="I9">
        <v>11</v>
      </c>
      <c r="J9">
        <v>2003</v>
      </c>
      <c r="K9" t="s">
        <v>7</v>
      </c>
      <c r="L9">
        <v>95</v>
      </c>
      <c r="M9" t="s">
        <v>53</v>
      </c>
      <c r="N9" t="s">
        <v>98</v>
      </c>
      <c r="O9" t="s">
        <v>99</v>
      </c>
      <c r="P9" t="s">
        <v>100</v>
      </c>
      <c r="R9" t="s">
        <v>101</v>
      </c>
      <c r="T9" t="s">
        <v>102</v>
      </c>
      <c r="U9" t="s">
        <v>103</v>
      </c>
      <c r="V9" t="s">
        <v>67</v>
      </c>
      <c r="W9" t="s">
        <v>104</v>
      </c>
      <c r="X9" t="s">
        <v>105</v>
      </c>
      <c r="Y9" t="s">
        <v>76</v>
      </c>
      <c r="Z9" t="str">
        <f>IF(COUNTA(A9:Y9)=0,"Blank","")</f>
        <v/>
      </c>
      <c r="AA9" s="4" t="str">
        <f>TEXT(F9,"mmmm")</f>
        <v>November</v>
      </c>
    </row>
    <row r="10" spans="1:27">
      <c r="A10">
        <v>10201</v>
      </c>
      <c r="B10">
        <v>22</v>
      </c>
      <c r="C10">
        <v>98.57</v>
      </c>
      <c r="D10">
        <v>2</v>
      </c>
      <c r="E10" s="1">
        <v>2168.54</v>
      </c>
      <c r="F10" s="3">
        <v>37956</v>
      </c>
      <c r="G10" t="s">
        <v>52</v>
      </c>
      <c r="H10">
        <v>4</v>
      </c>
      <c r="I10">
        <v>12</v>
      </c>
      <c r="J10">
        <v>2003</v>
      </c>
      <c r="K10" t="s">
        <v>7</v>
      </c>
      <c r="L10">
        <v>95</v>
      </c>
      <c r="M10" t="s">
        <v>53</v>
      </c>
      <c r="N10" t="s">
        <v>106</v>
      </c>
      <c r="O10">
        <v>6505555787</v>
      </c>
      <c r="P10" t="s">
        <v>107</v>
      </c>
      <c r="R10" t="s">
        <v>85</v>
      </c>
      <c r="S10" t="s">
        <v>80</v>
      </c>
      <c r="U10" t="s">
        <v>1</v>
      </c>
      <c r="V10" t="s">
        <v>58</v>
      </c>
      <c r="W10" t="s">
        <v>108</v>
      </c>
      <c r="X10" t="s">
        <v>82</v>
      </c>
      <c r="Y10" t="s">
        <v>61</v>
      </c>
      <c r="Z10" t="str">
        <f>IF(COUNTA(A10:Y10)=0,"Blank","")</f>
        <v/>
      </c>
      <c r="AA10" s="4" t="str">
        <f>TEXT(F10,"mmmm")</f>
        <v>December</v>
      </c>
    </row>
    <row r="11" spans="1:27">
      <c r="A11">
        <v>10211</v>
      </c>
      <c r="B11">
        <v>41</v>
      </c>
      <c r="C11">
        <v>100</v>
      </c>
      <c r="D11">
        <v>14</v>
      </c>
      <c r="E11" s="1">
        <v>4708.4399999999996</v>
      </c>
      <c r="F11" s="3">
        <v>38001</v>
      </c>
      <c r="G11" t="s">
        <v>52</v>
      </c>
      <c r="H11">
        <v>1</v>
      </c>
      <c r="I11">
        <v>1</v>
      </c>
      <c r="J11">
        <v>2004</v>
      </c>
      <c r="K11" t="s">
        <v>7</v>
      </c>
      <c r="L11">
        <v>95</v>
      </c>
      <c r="M11" t="s">
        <v>53</v>
      </c>
      <c r="N11" t="s">
        <v>109</v>
      </c>
      <c r="O11" t="s">
        <v>110</v>
      </c>
      <c r="P11" t="s">
        <v>111</v>
      </c>
      <c r="R11" t="s">
        <v>73</v>
      </c>
      <c r="T11">
        <v>75016</v>
      </c>
      <c r="U11" t="s">
        <v>66</v>
      </c>
      <c r="V11" t="s">
        <v>67</v>
      </c>
      <c r="W11" t="s">
        <v>112</v>
      </c>
      <c r="X11" t="s">
        <v>113</v>
      </c>
      <c r="Y11" t="s">
        <v>76</v>
      </c>
      <c r="Z11" t="str">
        <f>IF(COUNTA(A11:Y11)=0,"Blank","")</f>
        <v/>
      </c>
      <c r="AA11" s="4" t="str">
        <f>TEXT(F11,"mmmm")</f>
        <v>January</v>
      </c>
    </row>
    <row r="12" spans="1:27">
      <c r="A12">
        <v>10223</v>
      </c>
      <c r="B12">
        <v>37</v>
      </c>
      <c r="C12">
        <v>100</v>
      </c>
      <c r="D12">
        <v>1</v>
      </c>
      <c r="E12" s="1">
        <v>3965.66</v>
      </c>
      <c r="F12" s="3">
        <v>38037</v>
      </c>
      <c r="G12" t="s">
        <v>52</v>
      </c>
      <c r="H12">
        <v>1</v>
      </c>
      <c r="I12">
        <v>2</v>
      </c>
      <c r="J12">
        <v>2004</v>
      </c>
      <c r="K12" t="s">
        <v>7</v>
      </c>
      <c r="L12">
        <v>95</v>
      </c>
      <c r="M12" t="s">
        <v>53</v>
      </c>
      <c r="N12" t="s">
        <v>114</v>
      </c>
      <c r="O12" t="s">
        <v>115</v>
      </c>
      <c r="P12" t="s">
        <v>116</v>
      </c>
      <c r="Q12" t="s">
        <v>117</v>
      </c>
      <c r="R12" t="s">
        <v>118</v>
      </c>
      <c r="S12" t="s">
        <v>119</v>
      </c>
      <c r="T12">
        <v>3004</v>
      </c>
      <c r="U12" t="s">
        <v>120</v>
      </c>
      <c r="V12" t="s">
        <v>121</v>
      </c>
      <c r="W12" t="s">
        <v>122</v>
      </c>
      <c r="X12" t="s">
        <v>123</v>
      </c>
      <c r="Y12" t="s">
        <v>76</v>
      </c>
      <c r="Z12" t="str">
        <f>IF(COUNTA(A12:Y12)=0,"Blank","")</f>
        <v/>
      </c>
      <c r="AA12" s="4" t="str">
        <f>TEXT(F12,"mmmm")</f>
        <v>February</v>
      </c>
    </row>
    <row r="13" spans="1:27">
      <c r="A13">
        <v>10237</v>
      </c>
      <c r="B13">
        <v>23</v>
      </c>
      <c r="C13">
        <v>100</v>
      </c>
      <c r="D13">
        <v>7</v>
      </c>
      <c r="E13" s="1">
        <v>2333.12</v>
      </c>
      <c r="F13" s="3">
        <v>38082</v>
      </c>
      <c r="G13" t="s">
        <v>52</v>
      </c>
      <c r="H13">
        <v>2</v>
      </c>
      <c r="I13">
        <v>4</v>
      </c>
      <c r="J13">
        <v>2004</v>
      </c>
      <c r="K13" t="s">
        <v>7</v>
      </c>
      <c r="L13">
        <v>95</v>
      </c>
      <c r="M13" t="s">
        <v>53</v>
      </c>
      <c r="N13" t="s">
        <v>124</v>
      </c>
      <c r="O13">
        <v>2125551500</v>
      </c>
      <c r="P13" t="s">
        <v>125</v>
      </c>
      <c r="Q13" t="s">
        <v>126</v>
      </c>
      <c r="R13" t="s">
        <v>56</v>
      </c>
      <c r="S13" t="s">
        <v>57</v>
      </c>
      <c r="T13">
        <v>10022</v>
      </c>
      <c r="U13" t="s">
        <v>1</v>
      </c>
      <c r="V13" t="s">
        <v>58</v>
      </c>
      <c r="W13" t="s">
        <v>127</v>
      </c>
      <c r="X13" t="s">
        <v>128</v>
      </c>
      <c r="Y13" t="s">
        <v>61</v>
      </c>
      <c r="Z13" t="str">
        <f>IF(COUNTA(A13:Y13)=0,"Blank","")</f>
        <v/>
      </c>
      <c r="AA13" s="4" t="str">
        <f>TEXT(F13,"mmmm")</f>
        <v>April</v>
      </c>
    </row>
    <row r="14" spans="1:27">
      <c r="A14">
        <v>10251</v>
      </c>
      <c r="B14">
        <v>28</v>
      </c>
      <c r="C14">
        <v>100</v>
      </c>
      <c r="D14">
        <v>2</v>
      </c>
      <c r="E14" s="1">
        <v>3188.64</v>
      </c>
      <c r="F14" s="3">
        <v>38125</v>
      </c>
      <c r="G14" t="s">
        <v>52</v>
      </c>
      <c r="H14">
        <v>2</v>
      </c>
      <c r="I14">
        <v>5</v>
      </c>
      <c r="J14">
        <v>2004</v>
      </c>
      <c r="K14" t="s">
        <v>7</v>
      </c>
      <c r="L14">
        <v>95</v>
      </c>
      <c r="M14" t="s">
        <v>53</v>
      </c>
      <c r="N14" t="s">
        <v>129</v>
      </c>
      <c r="O14">
        <v>2015559350</v>
      </c>
      <c r="P14" t="s">
        <v>130</v>
      </c>
      <c r="R14" t="s">
        <v>131</v>
      </c>
      <c r="S14" t="s">
        <v>132</v>
      </c>
      <c r="T14">
        <v>94019</v>
      </c>
      <c r="U14" t="s">
        <v>1</v>
      </c>
      <c r="V14" t="s">
        <v>58</v>
      </c>
      <c r="W14" t="s">
        <v>86</v>
      </c>
      <c r="X14" t="s">
        <v>133</v>
      </c>
      <c r="Y14" t="s">
        <v>76</v>
      </c>
      <c r="Z14" t="str">
        <f>IF(COUNTA(A14:Y14)=0,"Blank","")</f>
        <v/>
      </c>
      <c r="AA14" s="4" t="str">
        <f>TEXT(F14,"mmmm")</f>
        <v>May</v>
      </c>
    </row>
    <row r="15" spans="1:27">
      <c r="A15">
        <v>10263</v>
      </c>
      <c r="B15">
        <v>34</v>
      </c>
      <c r="C15">
        <v>100</v>
      </c>
      <c r="D15">
        <v>2</v>
      </c>
      <c r="E15" s="1">
        <v>3676.76</v>
      </c>
      <c r="F15" s="3">
        <v>38166</v>
      </c>
      <c r="G15" t="s">
        <v>52</v>
      </c>
      <c r="H15">
        <v>2</v>
      </c>
      <c r="I15">
        <v>6</v>
      </c>
      <c r="J15">
        <v>2004</v>
      </c>
      <c r="K15" t="s">
        <v>7</v>
      </c>
      <c r="L15">
        <v>95</v>
      </c>
      <c r="M15" t="s">
        <v>53</v>
      </c>
      <c r="N15" t="s">
        <v>134</v>
      </c>
      <c r="O15">
        <v>2035552570</v>
      </c>
      <c r="P15" t="s">
        <v>135</v>
      </c>
      <c r="R15" t="s">
        <v>136</v>
      </c>
      <c r="S15" t="s">
        <v>137</v>
      </c>
      <c r="T15">
        <v>97562</v>
      </c>
      <c r="U15" t="s">
        <v>1</v>
      </c>
      <c r="V15" t="s">
        <v>58</v>
      </c>
      <c r="W15" t="s">
        <v>138</v>
      </c>
      <c r="X15" t="s">
        <v>82</v>
      </c>
      <c r="Y15" t="s">
        <v>76</v>
      </c>
      <c r="Z15" t="str">
        <f>IF(COUNTA(A15:Y15)=0,"Blank","")</f>
        <v/>
      </c>
      <c r="AA15" s="4" t="str">
        <f>TEXT(F15,"mmmm")</f>
        <v>June</v>
      </c>
    </row>
    <row r="16" spans="1:27">
      <c r="A16">
        <v>10275</v>
      </c>
      <c r="B16">
        <v>45</v>
      </c>
      <c r="C16">
        <v>92.83</v>
      </c>
      <c r="D16">
        <v>1</v>
      </c>
      <c r="E16" s="1">
        <v>4177.3500000000004</v>
      </c>
      <c r="F16" s="3">
        <v>38191</v>
      </c>
      <c r="G16" t="s">
        <v>52</v>
      </c>
      <c r="H16">
        <v>3</v>
      </c>
      <c r="I16">
        <v>7</v>
      </c>
      <c r="J16">
        <v>2004</v>
      </c>
      <c r="K16" t="s">
        <v>7</v>
      </c>
      <c r="L16">
        <v>95</v>
      </c>
      <c r="M16" t="s">
        <v>53</v>
      </c>
      <c r="N16" t="s">
        <v>139</v>
      </c>
      <c r="O16" t="s">
        <v>140</v>
      </c>
      <c r="P16" t="s">
        <v>141</v>
      </c>
      <c r="R16" t="s">
        <v>142</v>
      </c>
      <c r="T16">
        <v>44000</v>
      </c>
      <c r="U16" t="s">
        <v>66</v>
      </c>
      <c r="V16" t="s">
        <v>67</v>
      </c>
      <c r="W16" t="s">
        <v>143</v>
      </c>
      <c r="X16" t="s">
        <v>144</v>
      </c>
      <c r="Y16" t="s">
        <v>76</v>
      </c>
      <c r="Z16" t="str">
        <f>IF(COUNTA(A16:Y16)=0,"Blank","")</f>
        <v/>
      </c>
      <c r="AA16" s="4" t="str">
        <f>TEXT(F16,"mmmm")</f>
        <v>July</v>
      </c>
    </row>
    <row r="17" spans="1:27">
      <c r="A17">
        <v>10285</v>
      </c>
      <c r="B17">
        <v>36</v>
      </c>
      <c r="C17">
        <v>100</v>
      </c>
      <c r="D17">
        <v>6</v>
      </c>
      <c r="E17" s="1">
        <v>4099.68</v>
      </c>
      <c r="F17" s="3">
        <v>38226</v>
      </c>
      <c r="G17" t="s">
        <v>52</v>
      </c>
      <c r="H17">
        <v>3</v>
      </c>
      <c r="I17">
        <v>8</v>
      </c>
      <c r="J17">
        <v>2004</v>
      </c>
      <c r="K17" t="s">
        <v>7</v>
      </c>
      <c r="L17">
        <v>95</v>
      </c>
      <c r="M17" t="s">
        <v>53</v>
      </c>
      <c r="N17" t="s">
        <v>145</v>
      </c>
      <c r="O17">
        <v>6175558555</v>
      </c>
      <c r="P17" t="s">
        <v>146</v>
      </c>
      <c r="R17" t="s">
        <v>147</v>
      </c>
      <c r="S17" t="s">
        <v>148</v>
      </c>
      <c r="T17">
        <v>51247</v>
      </c>
      <c r="U17" t="s">
        <v>1</v>
      </c>
      <c r="V17" t="s">
        <v>58</v>
      </c>
      <c r="W17" t="s">
        <v>149</v>
      </c>
      <c r="X17" t="s">
        <v>150</v>
      </c>
      <c r="Y17" t="s">
        <v>76</v>
      </c>
      <c r="Z17" t="str">
        <f>IF(COUNTA(A17:Y17)=0,"Blank","")</f>
        <v/>
      </c>
      <c r="AA17" s="4" t="str">
        <f>TEXT(F17,"mmmm")</f>
        <v>August</v>
      </c>
    </row>
    <row r="18" spans="1:27">
      <c r="A18">
        <v>10299</v>
      </c>
      <c r="B18">
        <v>23</v>
      </c>
      <c r="C18">
        <v>100</v>
      </c>
      <c r="D18">
        <v>9</v>
      </c>
      <c r="E18" s="1">
        <v>2597.39</v>
      </c>
      <c r="F18" s="3">
        <v>38260</v>
      </c>
      <c r="G18" t="s">
        <v>52</v>
      </c>
      <c r="H18">
        <v>3</v>
      </c>
      <c r="I18">
        <v>9</v>
      </c>
      <c r="J18">
        <v>2004</v>
      </c>
      <c r="K18" t="s">
        <v>7</v>
      </c>
      <c r="L18">
        <v>95</v>
      </c>
      <c r="M18" t="s">
        <v>53</v>
      </c>
      <c r="N18" t="s">
        <v>151</v>
      </c>
      <c r="O18" t="s">
        <v>152</v>
      </c>
      <c r="P18" t="s">
        <v>153</v>
      </c>
      <c r="R18" t="s">
        <v>154</v>
      </c>
      <c r="T18">
        <v>21240</v>
      </c>
      <c r="U18" t="s">
        <v>155</v>
      </c>
      <c r="V18" t="s">
        <v>67</v>
      </c>
      <c r="W18" t="s">
        <v>156</v>
      </c>
      <c r="X18" t="s">
        <v>157</v>
      </c>
      <c r="Y18" t="s">
        <v>61</v>
      </c>
      <c r="Z18" t="str">
        <f>IF(COUNTA(A18:Y18)=0,"Blank","")</f>
        <v/>
      </c>
      <c r="AA18" s="4" t="str">
        <f>TEXT(F18,"mmmm")</f>
        <v>September</v>
      </c>
    </row>
    <row r="19" spans="1:27">
      <c r="A19">
        <v>10309</v>
      </c>
      <c r="B19">
        <v>41</v>
      </c>
      <c r="C19">
        <v>100</v>
      </c>
      <c r="D19">
        <v>5</v>
      </c>
      <c r="E19" s="1">
        <v>4394.38</v>
      </c>
      <c r="F19" s="3">
        <v>38275</v>
      </c>
      <c r="G19" t="s">
        <v>52</v>
      </c>
      <c r="H19">
        <v>4</v>
      </c>
      <c r="I19">
        <v>10</v>
      </c>
      <c r="J19">
        <v>2004</v>
      </c>
      <c r="K19" t="s">
        <v>7</v>
      </c>
      <c r="L19">
        <v>95</v>
      </c>
      <c r="M19" t="s">
        <v>53</v>
      </c>
      <c r="N19" t="s">
        <v>158</v>
      </c>
      <c r="O19" t="s">
        <v>159</v>
      </c>
      <c r="P19" t="s">
        <v>160</v>
      </c>
      <c r="R19" t="s">
        <v>161</v>
      </c>
      <c r="T19">
        <v>4110</v>
      </c>
      <c r="U19" t="s">
        <v>103</v>
      </c>
      <c r="V19" t="s">
        <v>67</v>
      </c>
      <c r="W19" t="s">
        <v>162</v>
      </c>
      <c r="X19" t="s">
        <v>163</v>
      </c>
      <c r="Y19" t="s">
        <v>76</v>
      </c>
      <c r="Z19" t="str">
        <f>IF(COUNTA(A19:Y19)=0,"Blank","")</f>
        <v/>
      </c>
      <c r="AA19" s="4" t="str">
        <f>TEXT(F19,"mmmm")</f>
        <v>October</v>
      </c>
    </row>
    <row r="20" spans="1:27">
      <c r="A20">
        <v>10318</v>
      </c>
      <c r="B20">
        <v>46</v>
      </c>
      <c r="C20">
        <v>94.74</v>
      </c>
      <c r="D20">
        <v>1</v>
      </c>
      <c r="E20" s="1">
        <v>4358.04</v>
      </c>
      <c r="F20" s="3">
        <v>38293</v>
      </c>
      <c r="G20" t="s">
        <v>52</v>
      </c>
      <c r="H20">
        <v>4</v>
      </c>
      <c r="I20">
        <v>11</v>
      </c>
      <c r="J20">
        <v>2004</v>
      </c>
      <c r="K20" t="s">
        <v>7</v>
      </c>
      <c r="L20">
        <v>95</v>
      </c>
      <c r="M20" t="s">
        <v>53</v>
      </c>
      <c r="N20" t="s">
        <v>164</v>
      </c>
      <c r="O20">
        <v>2155551555</v>
      </c>
      <c r="P20" t="s">
        <v>165</v>
      </c>
      <c r="R20" t="s">
        <v>166</v>
      </c>
      <c r="S20" t="s">
        <v>167</v>
      </c>
      <c r="T20">
        <v>70267</v>
      </c>
      <c r="U20" t="s">
        <v>1</v>
      </c>
      <c r="V20" t="s">
        <v>58</v>
      </c>
      <c r="W20" t="s">
        <v>59</v>
      </c>
      <c r="X20" t="s">
        <v>168</v>
      </c>
      <c r="Y20" t="s">
        <v>76</v>
      </c>
      <c r="Z20" t="str">
        <f>IF(COUNTA(A20:Y20)=0,"Blank","")</f>
        <v/>
      </c>
      <c r="AA20" s="4" t="str">
        <f>TEXT(F20,"mmmm")</f>
        <v>November</v>
      </c>
    </row>
    <row r="21" spans="1:27">
      <c r="A21">
        <v>10329</v>
      </c>
      <c r="B21">
        <v>42</v>
      </c>
      <c r="C21">
        <v>100</v>
      </c>
      <c r="D21">
        <v>1</v>
      </c>
      <c r="E21" s="1">
        <v>4396.1400000000003</v>
      </c>
      <c r="F21" s="3">
        <v>38306</v>
      </c>
      <c r="G21" t="s">
        <v>52</v>
      </c>
      <c r="H21">
        <v>4</v>
      </c>
      <c r="I21">
        <v>11</v>
      </c>
      <c r="J21">
        <v>2004</v>
      </c>
      <c r="K21" t="s">
        <v>7</v>
      </c>
      <c r="L21">
        <v>95</v>
      </c>
      <c r="M21" t="s">
        <v>53</v>
      </c>
      <c r="N21" t="s">
        <v>54</v>
      </c>
      <c r="O21">
        <v>2125557818</v>
      </c>
      <c r="P21" t="s">
        <v>55</v>
      </c>
      <c r="R21" t="s">
        <v>56</v>
      </c>
      <c r="S21" t="s">
        <v>57</v>
      </c>
      <c r="T21">
        <v>10022</v>
      </c>
      <c r="U21" t="s">
        <v>1</v>
      </c>
      <c r="V21" t="s">
        <v>58</v>
      </c>
      <c r="W21" t="s">
        <v>59</v>
      </c>
      <c r="X21" t="s">
        <v>60</v>
      </c>
      <c r="Y21" t="s">
        <v>76</v>
      </c>
      <c r="Z21" t="str">
        <f>IF(COUNTA(A21:Y21)=0,"Blank","")</f>
        <v/>
      </c>
      <c r="AA21" s="4" t="str">
        <f>TEXT(F21,"mmmm")</f>
        <v>November</v>
      </c>
    </row>
    <row r="22" spans="1:27">
      <c r="A22">
        <v>10341</v>
      </c>
      <c r="B22">
        <v>41</v>
      </c>
      <c r="C22">
        <v>100</v>
      </c>
      <c r="D22">
        <v>9</v>
      </c>
      <c r="E22" s="1">
        <v>7737.93</v>
      </c>
      <c r="F22" s="3">
        <v>38315</v>
      </c>
      <c r="G22" t="s">
        <v>52</v>
      </c>
      <c r="H22">
        <v>4</v>
      </c>
      <c r="I22">
        <v>11</v>
      </c>
      <c r="J22">
        <v>2004</v>
      </c>
      <c r="K22" t="s">
        <v>7</v>
      </c>
      <c r="L22">
        <v>95</v>
      </c>
      <c r="M22" t="s">
        <v>53</v>
      </c>
      <c r="N22" t="s">
        <v>169</v>
      </c>
      <c r="O22" t="s">
        <v>170</v>
      </c>
      <c r="P22" t="s">
        <v>171</v>
      </c>
      <c r="R22" t="s">
        <v>172</v>
      </c>
      <c r="T22">
        <v>5020</v>
      </c>
      <c r="U22" t="s">
        <v>173</v>
      </c>
      <c r="V22" t="s">
        <v>67</v>
      </c>
      <c r="W22" t="s">
        <v>174</v>
      </c>
      <c r="X22" t="s">
        <v>175</v>
      </c>
      <c r="Y22" t="s">
        <v>176</v>
      </c>
      <c r="Z22" t="str">
        <f>IF(COUNTA(A22:Y22)=0,"Blank","")</f>
        <v/>
      </c>
      <c r="AA22" s="4" t="str">
        <f>TEXT(F22,"mmmm")</f>
        <v>November</v>
      </c>
    </row>
    <row r="23" spans="1:27">
      <c r="A23">
        <v>10361</v>
      </c>
      <c r="B23">
        <v>20</v>
      </c>
      <c r="C23">
        <v>72.55</v>
      </c>
      <c r="D23">
        <v>13</v>
      </c>
      <c r="E23" s="1">
        <v>1451</v>
      </c>
      <c r="F23" s="3">
        <v>38338</v>
      </c>
      <c r="G23" t="s">
        <v>52</v>
      </c>
      <c r="H23">
        <v>4</v>
      </c>
      <c r="I23">
        <v>12</v>
      </c>
      <c r="J23">
        <v>2004</v>
      </c>
      <c r="K23" t="s">
        <v>7</v>
      </c>
      <c r="L23">
        <v>95</v>
      </c>
      <c r="M23" t="s">
        <v>53</v>
      </c>
      <c r="N23" t="s">
        <v>177</v>
      </c>
      <c r="O23" t="s">
        <v>178</v>
      </c>
      <c r="P23" t="s">
        <v>179</v>
      </c>
      <c r="Q23" t="s">
        <v>180</v>
      </c>
      <c r="R23" t="s">
        <v>181</v>
      </c>
      <c r="S23" t="s">
        <v>182</v>
      </c>
      <c r="T23">
        <v>2067</v>
      </c>
      <c r="U23" t="s">
        <v>120</v>
      </c>
      <c r="V23" t="s">
        <v>121</v>
      </c>
      <c r="W23" t="s">
        <v>183</v>
      </c>
      <c r="X23" t="s">
        <v>184</v>
      </c>
      <c r="Y23" t="s">
        <v>61</v>
      </c>
      <c r="Z23" t="str">
        <f>IF(COUNTA(A23:Y23)=0,"Blank","")</f>
        <v/>
      </c>
      <c r="AA23" s="4" t="str">
        <f>TEXT(F23,"mmmm")</f>
        <v>December</v>
      </c>
    </row>
    <row r="24" spans="1:27">
      <c r="A24">
        <v>10375</v>
      </c>
      <c r="B24">
        <v>21</v>
      </c>
      <c r="C24">
        <v>34.909999999999997</v>
      </c>
      <c r="D24">
        <v>12</v>
      </c>
      <c r="E24" s="1">
        <v>733.11</v>
      </c>
      <c r="F24" s="3">
        <v>38386</v>
      </c>
      <c r="G24" t="s">
        <v>52</v>
      </c>
      <c r="H24">
        <v>1</v>
      </c>
      <c r="I24">
        <v>2</v>
      </c>
      <c r="J24">
        <v>2005</v>
      </c>
      <c r="K24" t="s">
        <v>7</v>
      </c>
      <c r="L24">
        <v>95</v>
      </c>
      <c r="M24" t="s">
        <v>53</v>
      </c>
      <c r="N24" t="s">
        <v>139</v>
      </c>
      <c r="O24" t="s">
        <v>140</v>
      </c>
      <c r="P24" t="s">
        <v>141</v>
      </c>
      <c r="R24" t="s">
        <v>142</v>
      </c>
      <c r="T24">
        <v>44000</v>
      </c>
      <c r="U24" t="s">
        <v>66</v>
      </c>
      <c r="V24" t="s">
        <v>67</v>
      </c>
      <c r="W24" t="s">
        <v>143</v>
      </c>
      <c r="X24" t="s">
        <v>144</v>
      </c>
      <c r="Y24" t="s">
        <v>61</v>
      </c>
      <c r="Z24" t="str">
        <f>IF(COUNTA(A24:Y24)=0,"Blank","")</f>
        <v/>
      </c>
      <c r="AA24" s="4" t="str">
        <f>TEXT(F24,"mmmm")</f>
        <v>February</v>
      </c>
    </row>
    <row r="25" spans="1:27">
      <c r="A25">
        <v>10388</v>
      </c>
      <c r="B25">
        <v>42</v>
      </c>
      <c r="C25">
        <v>76.36</v>
      </c>
      <c r="D25">
        <v>4</v>
      </c>
      <c r="E25" s="1">
        <v>3207.12</v>
      </c>
      <c r="F25" s="3">
        <v>38414</v>
      </c>
      <c r="G25" t="s">
        <v>52</v>
      </c>
      <c r="H25">
        <v>1</v>
      </c>
      <c r="I25">
        <v>3</v>
      </c>
      <c r="J25">
        <v>2005</v>
      </c>
      <c r="K25" t="s">
        <v>7</v>
      </c>
      <c r="L25">
        <v>95</v>
      </c>
      <c r="M25" t="s">
        <v>53</v>
      </c>
      <c r="N25" t="s">
        <v>185</v>
      </c>
      <c r="O25">
        <v>5085552555</v>
      </c>
      <c r="P25" t="s">
        <v>186</v>
      </c>
      <c r="R25" t="s">
        <v>187</v>
      </c>
      <c r="S25" t="s">
        <v>148</v>
      </c>
      <c r="T25">
        <v>50553</v>
      </c>
      <c r="U25" t="s">
        <v>1</v>
      </c>
      <c r="V25" t="s">
        <v>58</v>
      </c>
      <c r="W25" t="s">
        <v>188</v>
      </c>
      <c r="X25" t="s">
        <v>189</v>
      </c>
      <c r="Y25" t="s">
        <v>76</v>
      </c>
      <c r="Z25" t="str">
        <f>IF(COUNTA(A25:Y25)=0,"Blank","")</f>
        <v/>
      </c>
      <c r="AA25" s="4" t="str">
        <f>TEXT(F25,"mmmm")</f>
        <v>March</v>
      </c>
    </row>
    <row r="26" spans="1:27">
      <c r="A26">
        <v>10403</v>
      </c>
      <c r="B26">
        <v>24</v>
      </c>
      <c r="C26">
        <v>100</v>
      </c>
      <c r="D26">
        <v>7</v>
      </c>
      <c r="E26" s="1">
        <v>2434.56</v>
      </c>
      <c r="F26" s="3">
        <v>38450</v>
      </c>
      <c r="G26" t="s">
        <v>52</v>
      </c>
      <c r="H26">
        <v>2</v>
      </c>
      <c r="I26">
        <v>4</v>
      </c>
      <c r="J26">
        <v>2005</v>
      </c>
      <c r="K26" t="s">
        <v>7</v>
      </c>
      <c r="L26">
        <v>95</v>
      </c>
      <c r="M26" t="s">
        <v>53</v>
      </c>
      <c r="N26" t="s">
        <v>190</v>
      </c>
      <c r="O26" t="s">
        <v>191</v>
      </c>
      <c r="P26" t="s">
        <v>192</v>
      </c>
      <c r="R26" t="s">
        <v>193</v>
      </c>
      <c r="T26" t="s">
        <v>194</v>
      </c>
      <c r="U26" t="s">
        <v>195</v>
      </c>
      <c r="V26" t="s">
        <v>67</v>
      </c>
      <c r="W26" t="s">
        <v>196</v>
      </c>
      <c r="X26" t="s">
        <v>197</v>
      </c>
      <c r="Y26" t="s">
        <v>61</v>
      </c>
      <c r="Z26" t="str">
        <f>IF(COUNTA(A26:Y26)=0,"Blank","")</f>
        <v/>
      </c>
      <c r="AA26" s="4" t="str">
        <f>TEXT(F26,"mmmm")</f>
        <v>April</v>
      </c>
    </row>
    <row r="27" spans="1:27">
      <c r="A27">
        <v>10417</v>
      </c>
      <c r="B27">
        <v>66</v>
      </c>
      <c r="C27">
        <v>100</v>
      </c>
      <c r="D27">
        <v>2</v>
      </c>
      <c r="E27" s="1">
        <v>7516.08</v>
      </c>
      <c r="F27" s="3">
        <v>38485</v>
      </c>
      <c r="G27" t="s">
        <v>198</v>
      </c>
      <c r="H27">
        <v>2</v>
      </c>
      <c r="I27">
        <v>5</v>
      </c>
      <c r="J27">
        <v>2005</v>
      </c>
      <c r="K27" t="s">
        <v>7</v>
      </c>
      <c r="L27">
        <v>95</v>
      </c>
      <c r="M27" t="s">
        <v>53</v>
      </c>
      <c r="N27" t="s">
        <v>199</v>
      </c>
      <c r="O27" t="s">
        <v>200</v>
      </c>
      <c r="P27" t="s">
        <v>201</v>
      </c>
      <c r="R27" t="s">
        <v>202</v>
      </c>
      <c r="T27">
        <v>28034</v>
      </c>
      <c r="U27" t="s">
        <v>203</v>
      </c>
      <c r="V27" t="s">
        <v>67</v>
      </c>
      <c r="W27" t="s">
        <v>204</v>
      </c>
      <c r="X27" t="s">
        <v>205</v>
      </c>
      <c r="Y27" t="s">
        <v>176</v>
      </c>
      <c r="Z27" t="str">
        <f>IF(COUNTA(A27:Y27)=0,"Blank","")</f>
        <v/>
      </c>
      <c r="AA27" s="4" t="str">
        <f>TEXT(F27,"mmmm")</f>
        <v>May</v>
      </c>
    </row>
    <row r="28" spans="1:27">
      <c r="A28">
        <v>10103</v>
      </c>
      <c r="B28">
        <v>26</v>
      </c>
      <c r="C28">
        <v>100</v>
      </c>
      <c r="D28">
        <v>11</v>
      </c>
      <c r="E28" s="1">
        <v>5404.62</v>
      </c>
      <c r="F28" s="3">
        <v>37650</v>
      </c>
      <c r="G28" t="s">
        <v>52</v>
      </c>
      <c r="H28">
        <v>1</v>
      </c>
      <c r="I28">
        <v>1</v>
      </c>
      <c r="J28">
        <v>2003</v>
      </c>
      <c r="K28" t="s">
        <v>0</v>
      </c>
      <c r="L28">
        <v>214</v>
      </c>
      <c r="M28" t="s">
        <v>206</v>
      </c>
      <c r="N28" t="s">
        <v>158</v>
      </c>
      <c r="O28" t="s">
        <v>159</v>
      </c>
      <c r="P28" t="s">
        <v>160</v>
      </c>
      <c r="R28" t="s">
        <v>161</v>
      </c>
      <c r="T28">
        <v>4110</v>
      </c>
      <c r="U28" t="s">
        <v>103</v>
      </c>
      <c r="V28" t="s">
        <v>67</v>
      </c>
      <c r="W28" t="s">
        <v>162</v>
      </c>
      <c r="X28" t="s">
        <v>163</v>
      </c>
      <c r="Y28" t="s">
        <v>76</v>
      </c>
      <c r="Z28" t="str">
        <f>IF(COUNTA(A28:Y28)=0,"Blank","")</f>
        <v/>
      </c>
      <c r="AA28" s="4" t="str">
        <f>TEXT(F28,"mmmm")</f>
        <v>January</v>
      </c>
    </row>
    <row r="29" spans="1:27">
      <c r="A29">
        <v>10112</v>
      </c>
      <c r="B29">
        <v>29</v>
      </c>
      <c r="C29">
        <v>100</v>
      </c>
      <c r="D29">
        <v>1</v>
      </c>
      <c r="E29" s="1">
        <v>7209.11</v>
      </c>
      <c r="F29" s="3">
        <v>37704</v>
      </c>
      <c r="G29" t="s">
        <v>52</v>
      </c>
      <c r="H29">
        <v>1</v>
      </c>
      <c r="I29">
        <v>3</v>
      </c>
      <c r="J29">
        <v>2003</v>
      </c>
      <c r="K29" t="s">
        <v>0</v>
      </c>
      <c r="L29">
        <v>214</v>
      </c>
      <c r="M29" t="s">
        <v>206</v>
      </c>
      <c r="N29" t="s">
        <v>207</v>
      </c>
      <c r="O29" t="s">
        <v>208</v>
      </c>
      <c r="P29" t="s">
        <v>209</v>
      </c>
      <c r="R29" t="s">
        <v>210</v>
      </c>
      <c r="T29" t="s">
        <v>211</v>
      </c>
      <c r="U29" t="s">
        <v>212</v>
      </c>
      <c r="V29" t="s">
        <v>67</v>
      </c>
      <c r="W29" t="s">
        <v>213</v>
      </c>
      <c r="X29" t="s">
        <v>214</v>
      </c>
      <c r="Y29" t="s">
        <v>176</v>
      </c>
      <c r="Z29" t="str">
        <f>IF(COUNTA(A29:Y29)=0,"Blank","")</f>
        <v/>
      </c>
      <c r="AA29" s="4" t="str">
        <f>TEXT(F29,"mmmm")</f>
        <v>March</v>
      </c>
    </row>
    <row r="30" spans="1:27">
      <c r="A30">
        <v>10126</v>
      </c>
      <c r="B30">
        <v>38</v>
      </c>
      <c r="C30">
        <v>100</v>
      </c>
      <c r="D30">
        <v>11</v>
      </c>
      <c r="E30" s="1">
        <v>7329.06</v>
      </c>
      <c r="F30" s="3">
        <v>37769</v>
      </c>
      <c r="G30" t="s">
        <v>52</v>
      </c>
      <c r="H30">
        <v>2</v>
      </c>
      <c r="I30">
        <v>5</v>
      </c>
      <c r="J30">
        <v>2003</v>
      </c>
      <c r="K30" t="s">
        <v>0</v>
      </c>
      <c r="L30">
        <v>214</v>
      </c>
      <c r="M30" t="s">
        <v>206</v>
      </c>
      <c r="N30" t="s">
        <v>215</v>
      </c>
      <c r="O30" t="s">
        <v>216</v>
      </c>
      <c r="P30" t="s">
        <v>217</v>
      </c>
      <c r="R30" t="s">
        <v>202</v>
      </c>
      <c r="T30">
        <v>28023</v>
      </c>
      <c r="U30" t="s">
        <v>203</v>
      </c>
      <c r="V30" t="s">
        <v>67</v>
      </c>
      <c r="W30" t="s">
        <v>218</v>
      </c>
      <c r="X30" t="s">
        <v>219</v>
      </c>
      <c r="Y30" t="s">
        <v>176</v>
      </c>
      <c r="Z30" t="str">
        <f>IF(COUNTA(A30:Y30)=0,"Blank","")</f>
        <v/>
      </c>
      <c r="AA30" s="4" t="str">
        <f>TEXT(F30,"mmmm")</f>
        <v>May</v>
      </c>
    </row>
    <row r="31" spans="1:27">
      <c r="A31">
        <v>10140</v>
      </c>
      <c r="B31">
        <v>37</v>
      </c>
      <c r="C31">
        <v>100</v>
      </c>
      <c r="D31">
        <v>11</v>
      </c>
      <c r="E31" s="1">
        <v>7374.1</v>
      </c>
      <c r="F31" s="3">
        <v>37826</v>
      </c>
      <c r="G31" t="s">
        <v>52</v>
      </c>
      <c r="H31">
        <v>3</v>
      </c>
      <c r="I31">
        <v>7</v>
      </c>
      <c r="J31">
        <v>2003</v>
      </c>
      <c r="K31" t="s">
        <v>0</v>
      </c>
      <c r="L31">
        <v>214</v>
      </c>
      <c r="M31" t="s">
        <v>206</v>
      </c>
      <c r="N31" t="s">
        <v>87</v>
      </c>
      <c r="O31">
        <v>6505556809</v>
      </c>
      <c r="P31" t="s">
        <v>88</v>
      </c>
      <c r="R31" t="s">
        <v>89</v>
      </c>
      <c r="S31" t="s">
        <v>80</v>
      </c>
      <c r="T31">
        <v>94217</v>
      </c>
      <c r="U31" t="s">
        <v>1</v>
      </c>
      <c r="V31" t="s">
        <v>58</v>
      </c>
      <c r="W31" t="s">
        <v>90</v>
      </c>
      <c r="X31" t="s">
        <v>91</v>
      </c>
      <c r="Y31" t="s">
        <v>176</v>
      </c>
      <c r="Z31" t="str">
        <f>IF(COUNTA(A31:Y31)=0,"Blank","")</f>
        <v/>
      </c>
      <c r="AA31" s="4" t="str">
        <f>TEXT(F31,"mmmm")</f>
        <v>July</v>
      </c>
    </row>
    <row r="32" spans="1:27">
      <c r="A32">
        <v>10150</v>
      </c>
      <c r="B32">
        <v>45</v>
      </c>
      <c r="C32">
        <v>100</v>
      </c>
      <c r="D32">
        <v>8</v>
      </c>
      <c r="E32" s="1">
        <v>10993.5</v>
      </c>
      <c r="F32" s="3">
        <v>37883</v>
      </c>
      <c r="G32" t="s">
        <v>52</v>
      </c>
      <c r="H32">
        <v>3</v>
      </c>
      <c r="I32">
        <v>9</v>
      </c>
      <c r="J32">
        <v>2003</v>
      </c>
      <c r="K32" t="s">
        <v>0</v>
      </c>
      <c r="L32">
        <v>214</v>
      </c>
      <c r="M32" t="s">
        <v>206</v>
      </c>
      <c r="N32" t="s">
        <v>220</v>
      </c>
      <c r="O32" t="s">
        <v>221</v>
      </c>
      <c r="P32" t="s">
        <v>222</v>
      </c>
      <c r="R32" t="s">
        <v>223</v>
      </c>
      <c r="T32">
        <v>79903</v>
      </c>
      <c r="U32" t="s">
        <v>223</v>
      </c>
      <c r="V32" t="s">
        <v>224</v>
      </c>
      <c r="W32" t="s">
        <v>225</v>
      </c>
      <c r="X32" t="s">
        <v>226</v>
      </c>
      <c r="Y32" t="s">
        <v>176</v>
      </c>
      <c r="Z32" t="str">
        <f>IF(COUNTA(A32:Y32)=0,"Blank","")</f>
        <v/>
      </c>
      <c r="AA32" s="4" t="str">
        <f>TEXT(F32,"mmmm")</f>
        <v>September</v>
      </c>
    </row>
    <row r="33" spans="1:27">
      <c r="A33">
        <v>10163</v>
      </c>
      <c r="B33">
        <v>21</v>
      </c>
      <c r="C33">
        <v>100</v>
      </c>
      <c r="D33">
        <v>1</v>
      </c>
      <c r="E33" s="1">
        <v>4860.24</v>
      </c>
      <c r="F33" s="3">
        <v>37914</v>
      </c>
      <c r="G33" t="s">
        <v>52</v>
      </c>
      <c r="H33">
        <v>4</v>
      </c>
      <c r="I33">
        <v>10</v>
      </c>
      <c r="J33">
        <v>2003</v>
      </c>
      <c r="K33" t="s">
        <v>0</v>
      </c>
      <c r="L33">
        <v>214</v>
      </c>
      <c r="M33" t="s">
        <v>206</v>
      </c>
      <c r="N33" t="s">
        <v>227</v>
      </c>
      <c r="O33">
        <v>2125558493</v>
      </c>
      <c r="P33" t="s">
        <v>228</v>
      </c>
      <c r="Q33" t="s">
        <v>229</v>
      </c>
      <c r="R33" t="s">
        <v>56</v>
      </c>
      <c r="S33" t="s">
        <v>57</v>
      </c>
      <c r="T33">
        <v>10022</v>
      </c>
      <c r="U33" t="s">
        <v>1</v>
      </c>
      <c r="V33" t="s">
        <v>58</v>
      </c>
      <c r="W33" t="s">
        <v>149</v>
      </c>
      <c r="X33" t="s">
        <v>230</v>
      </c>
      <c r="Y33" t="s">
        <v>76</v>
      </c>
      <c r="Z33" t="str">
        <f>IF(COUNTA(A33:Y33)=0,"Blank","")</f>
        <v/>
      </c>
      <c r="AA33" s="4" t="str">
        <f>TEXT(F33,"mmmm")</f>
        <v>October</v>
      </c>
    </row>
    <row r="34" spans="1:27">
      <c r="A34">
        <v>10174</v>
      </c>
      <c r="B34">
        <v>34</v>
      </c>
      <c r="C34">
        <v>100</v>
      </c>
      <c r="D34">
        <v>4</v>
      </c>
      <c r="E34" s="1">
        <v>8014.82</v>
      </c>
      <c r="F34" s="3">
        <v>37931</v>
      </c>
      <c r="G34" t="s">
        <v>52</v>
      </c>
      <c r="H34">
        <v>4</v>
      </c>
      <c r="I34">
        <v>11</v>
      </c>
      <c r="J34">
        <v>2003</v>
      </c>
      <c r="K34" t="s">
        <v>0</v>
      </c>
      <c r="L34">
        <v>214</v>
      </c>
      <c r="M34" t="s">
        <v>206</v>
      </c>
      <c r="N34" t="s">
        <v>231</v>
      </c>
      <c r="O34" t="s">
        <v>232</v>
      </c>
      <c r="P34" t="s">
        <v>233</v>
      </c>
      <c r="R34" t="s">
        <v>234</v>
      </c>
      <c r="S34" t="s">
        <v>235</v>
      </c>
      <c r="T34">
        <v>4101</v>
      </c>
      <c r="U34" t="s">
        <v>120</v>
      </c>
      <c r="V34" t="s">
        <v>121</v>
      </c>
      <c r="W34" t="s">
        <v>236</v>
      </c>
      <c r="X34" t="s">
        <v>237</v>
      </c>
      <c r="Y34" t="s">
        <v>176</v>
      </c>
      <c r="Z34" t="str">
        <f>IF(COUNTA(A34:Y34)=0,"Blank","")</f>
        <v/>
      </c>
      <c r="AA34" s="4" t="str">
        <f>TEXT(F34,"mmmm")</f>
        <v>November</v>
      </c>
    </row>
    <row r="35" spans="1:27">
      <c r="A35">
        <v>10183</v>
      </c>
      <c r="B35">
        <v>23</v>
      </c>
      <c r="C35">
        <v>100</v>
      </c>
      <c r="D35">
        <v>8</v>
      </c>
      <c r="E35" s="1">
        <v>5372.57</v>
      </c>
      <c r="F35" s="3">
        <v>37938</v>
      </c>
      <c r="G35" t="s">
        <v>52</v>
      </c>
      <c r="H35">
        <v>4</v>
      </c>
      <c r="I35">
        <v>11</v>
      </c>
      <c r="J35">
        <v>2003</v>
      </c>
      <c r="K35" t="s">
        <v>0</v>
      </c>
      <c r="L35">
        <v>214</v>
      </c>
      <c r="M35" t="s">
        <v>206</v>
      </c>
      <c r="N35" t="s">
        <v>238</v>
      </c>
      <c r="O35">
        <v>2155554695</v>
      </c>
      <c r="P35" t="s">
        <v>239</v>
      </c>
      <c r="R35" t="s">
        <v>240</v>
      </c>
      <c r="S35" t="s">
        <v>167</v>
      </c>
      <c r="T35">
        <v>71270</v>
      </c>
      <c r="U35" t="s">
        <v>1</v>
      </c>
      <c r="V35" t="s">
        <v>58</v>
      </c>
      <c r="W35" t="s">
        <v>241</v>
      </c>
      <c r="X35" t="s">
        <v>242</v>
      </c>
      <c r="Y35" t="s">
        <v>76</v>
      </c>
      <c r="Z35" t="str">
        <f>IF(COUNTA(A35:Y35)=0,"Blank","")</f>
        <v/>
      </c>
      <c r="AA35" s="4" t="str">
        <f>TEXT(F35,"mmmm")</f>
        <v>November</v>
      </c>
    </row>
    <row r="36" spans="1:27">
      <c r="A36">
        <v>10194</v>
      </c>
      <c r="B36">
        <v>42</v>
      </c>
      <c r="C36">
        <v>100</v>
      </c>
      <c r="D36">
        <v>11</v>
      </c>
      <c r="E36" s="1">
        <v>7290.36</v>
      </c>
      <c r="F36" s="3">
        <v>37950</v>
      </c>
      <c r="G36" t="s">
        <v>52</v>
      </c>
      <c r="H36">
        <v>4</v>
      </c>
      <c r="I36">
        <v>11</v>
      </c>
      <c r="J36">
        <v>2003</v>
      </c>
      <c r="K36" t="s">
        <v>0</v>
      </c>
      <c r="L36">
        <v>214</v>
      </c>
      <c r="M36" t="s">
        <v>206</v>
      </c>
      <c r="N36" t="s">
        <v>243</v>
      </c>
      <c r="O36" t="s">
        <v>244</v>
      </c>
      <c r="P36" t="s">
        <v>245</v>
      </c>
      <c r="R36" t="s">
        <v>246</v>
      </c>
      <c r="T36">
        <v>69004</v>
      </c>
      <c r="U36" t="s">
        <v>66</v>
      </c>
      <c r="V36" t="s">
        <v>67</v>
      </c>
      <c r="W36" t="s">
        <v>247</v>
      </c>
      <c r="X36" t="s">
        <v>248</v>
      </c>
      <c r="Y36" t="s">
        <v>176</v>
      </c>
      <c r="Z36" t="str">
        <f>IF(COUNTA(A36:Y36)=0,"Blank","")</f>
        <v/>
      </c>
      <c r="AA36" s="4" t="str">
        <f>TEXT(F36,"mmmm")</f>
        <v>November</v>
      </c>
    </row>
    <row r="37" spans="1:27">
      <c r="A37">
        <v>10206</v>
      </c>
      <c r="B37">
        <v>47</v>
      </c>
      <c r="C37">
        <v>100</v>
      </c>
      <c r="D37">
        <v>6</v>
      </c>
      <c r="E37" s="1">
        <v>9064.89</v>
      </c>
      <c r="F37" s="3">
        <v>37960</v>
      </c>
      <c r="G37" t="s">
        <v>52</v>
      </c>
      <c r="H37">
        <v>4</v>
      </c>
      <c r="I37">
        <v>12</v>
      </c>
      <c r="J37">
        <v>2003</v>
      </c>
      <c r="K37" t="s">
        <v>0</v>
      </c>
      <c r="L37">
        <v>214</v>
      </c>
      <c r="M37" t="s">
        <v>206</v>
      </c>
      <c r="N37" t="s">
        <v>249</v>
      </c>
      <c r="O37" t="s">
        <v>250</v>
      </c>
      <c r="P37" t="s">
        <v>251</v>
      </c>
      <c r="R37" t="s">
        <v>252</v>
      </c>
      <c r="S37" t="s">
        <v>253</v>
      </c>
      <c r="T37" t="s">
        <v>254</v>
      </c>
      <c r="U37" t="s">
        <v>255</v>
      </c>
      <c r="V37" t="s">
        <v>58</v>
      </c>
      <c r="W37" t="s">
        <v>256</v>
      </c>
      <c r="X37" t="s">
        <v>257</v>
      </c>
      <c r="Y37" t="s">
        <v>176</v>
      </c>
      <c r="Z37" t="str">
        <f>IF(COUNTA(A37:Y37)=0,"Blank","")</f>
        <v/>
      </c>
      <c r="AA37" s="4" t="str">
        <f>TEXT(F37,"mmmm")</f>
        <v>December</v>
      </c>
    </row>
    <row r="38" spans="1:27">
      <c r="A38">
        <v>10215</v>
      </c>
      <c r="B38">
        <v>35</v>
      </c>
      <c r="C38">
        <v>100</v>
      </c>
      <c r="D38">
        <v>3</v>
      </c>
      <c r="E38" s="1">
        <v>6075.3</v>
      </c>
      <c r="F38" s="3">
        <v>38015</v>
      </c>
      <c r="G38" t="s">
        <v>52</v>
      </c>
      <c r="H38">
        <v>1</v>
      </c>
      <c r="I38">
        <v>1</v>
      </c>
      <c r="J38">
        <v>2004</v>
      </c>
      <c r="K38" t="s">
        <v>0</v>
      </c>
      <c r="L38">
        <v>214</v>
      </c>
      <c r="M38" t="s">
        <v>206</v>
      </c>
      <c r="N38" t="s">
        <v>258</v>
      </c>
      <c r="O38">
        <v>3105553722</v>
      </c>
      <c r="P38" t="s">
        <v>259</v>
      </c>
      <c r="R38" t="s">
        <v>260</v>
      </c>
      <c r="S38" t="s">
        <v>80</v>
      </c>
      <c r="T38">
        <v>94019</v>
      </c>
      <c r="U38" t="s">
        <v>1</v>
      </c>
      <c r="V38" t="s">
        <v>58</v>
      </c>
      <c r="W38" t="s">
        <v>261</v>
      </c>
      <c r="X38" t="s">
        <v>262</v>
      </c>
      <c r="Y38" t="s">
        <v>76</v>
      </c>
      <c r="Z38" t="str">
        <f>IF(COUNTA(A38:Y38)=0,"Blank","")</f>
        <v/>
      </c>
      <c r="AA38" s="4" t="str">
        <f>TEXT(F38,"mmmm")</f>
        <v>January</v>
      </c>
    </row>
    <row r="39" spans="1:27">
      <c r="A39">
        <v>10228</v>
      </c>
      <c r="B39">
        <v>29</v>
      </c>
      <c r="C39">
        <v>100</v>
      </c>
      <c r="D39">
        <v>2</v>
      </c>
      <c r="E39" s="1">
        <v>6463.23</v>
      </c>
      <c r="F39" s="3">
        <v>38056</v>
      </c>
      <c r="G39" t="s">
        <v>52</v>
      </c>
      <c r="H39">
        <v>1</v>
      </c>
      <c r="I39">
        <v>3</v>
      </c>
      <c r="J39">
        <v>2004</v>
      </c>
      <c r="K39" t="s">
        <v>0</v>
      </c>
      <c r="L39">
        <v>214</v>
      </c>
      <c r="M39" t="s">
        <v>206</v>
      </c>
      <c r="N39" t="s">
        <v>263</v>
      </c>
      <c r="O39">
        <v>6175555555</v>
      </c>
      <c r="P39" t="s">
        <v>264</v>
      </c>
      <c r="R39" t="s">
        <v>147</v>
      </c>
      <c r="S39" t="s">
        <v>148</v>
      </c>
      <c r="T39">
        <v>51247</v>
      </c>
      <c r="U39" t="s">
        <v>1</v>
      </c>
      <c r="V39" t="s">
        <v>58</v>
      </c>
      <c r="W39" t="s">
        <v>265</v>
      </c>
      <c r="X39" t="s">
        <v>168</v>
      </c>
      <c r="Y39" t="s">
        <v>76</v>
      </c>
      <c r="Z39" t="str">
        <f>IF(COUNTA(A39:Y39)=0,"Blank","")</f>
        <v/>
      </c>
      <c r="AA39" s="4" t="str">
        <f>TEXT(F39,"mmmm")</f>
        <v>March</v>
      </c>
    </row>
    <row r="40" spans="1:27">
      <c r="A40">
        <v>10245</v>
      </c>
      <c r="B40">
        <v>34</v>
      </c>
      <c r="C40">
        <v>100</v>
      </c>
      <c r="D40">
        <v>9</v>
      </c>
      <c r="E40" s="1">
        <v>6120.34</v>
      </c>
      <c r="F40" s="3">
        <v>38111</v>
      </c>
      <c r="G40" t="s">
        <v>52</v>
      </c>
      <c r="H40">
        <v>2</v>
      </c>
      <c r="I40">
        <v>5</v>
      </c>
      <c r="J40">
        <v>2004</v>
      </c>
      <c r="K40" t="s">
        <v>0</v>
      </c>
      <c r="L40">
        <v>214</v>
      </c>
      <c r="M40" t="s">
        <v>206</v>
      </c>
      <c r="N40" t="s">
        <v>266</v>
      </c>
      <c r="O40">
        <v>2035559545</v>
      </c>
      <c r="P40" t="s">
        <v>267</v>
      </c>
      <c r="R40" t="s">
        <v>268</v>
      </c>
      <c r="S40" t="s">
        <v>137</v>
      </c>
      <c r="T40">
        <v>97823</v>
      </c>
      <c r="U40" t="s">
        <v>1</v>
      </c>
      <c r="V40" t="s">
        <v>58</v>
      </c>
      <c r="W40" t="s">
        <v>108</v>
      </c>
      <c r="X40" t="s">
        <v>269</v>
      </c>
      <c r="Y40" t="s">
        <v>76</v>
      </c>
      <c r="Z40" t="str">
        <f>IF(COUNTA(A40:Y40)=0,"Blank","")</f>
        <v/>
      </c>
      <c r="AA40" s="4" t="str">
        <f>TEXT(F40,"mmmm")</f>
        <v>May</v>
      </c>
    </row>
    <row r="41" spans="1:27">
      <c r="A41">
        <v>10258</v>
      </c>
      <c r="B41">
        <v>32</v>
      </c>
      <c r="C41">
        <v>100</v>
      </c>
      <c r="D41">
        <v>6</v>
      </c>
      <c r="E41" s="1">
        <v>7680.64</v>
      </c>
      <c r="F41" s="3">
        <v>38153</v>
      </c>
      <c r="G41" t="s">
        <v>52</v>
      </c>
      <c r="H41">
        <v>2</v>
      </c>
      <c r="I41">
        <v>6</v>
      </c>
      <c r="J41">
        <v>2004</v>
      </c>
      <c r="K41" t="s">
        <v>0</v>
      </c>
      <c r="L41">
        <v>214</v>
      </c>
      <c r="M41" t="s">
        <v>206</v>
      </c>
      <c r="N41" t="s">
        <v>270</v>
      </c>
      <c r="O41" t="s">
        <v>271</v>
      </c>
      <c r="P41" t="s">
        <v>272</v>
      </c>
      <c r="R41" t="s">
        <v>273</v>
      </c>
      <c r="S41" t="s">
        <v>274</v>
      </c>
      <c r="T41" t="s">
        <v>275</v>
      </c>
      <c r="U41" t="s">
        <v>224</v>
      </c>
      <c r="V41" t="s">
        <v>224</v>
      </c>
      <c r="W41" t="s">
        <v>276</v>
      </c>
      <c r="X41" t="s">
        <v>277</v>
      </c>
      <c r="Y41" t="s">
        <v>176</v>
      </c>
      <c r="Z41" t="str">
        <f>IF(COUNTA(A41:Y41)=0,"Blank","")</f>
        <v/>
      </c>
      <c r="AA41" s="4" t="str">
        <f>TEXT(F41,"mmmm")</f>
        <v>June</v>
      </c>
    </row>
    <row r="42" spans="1:27">
      <c r="A42">
        <v>10270</v>
      </c>
      <c r="B42">
        <v>21</v>
      </c>
      <c r="C42">
        <v>100</v>
      </c>
      <c r="D42">
        <v>9</v>
      </c>
      <c r="E42" s="1">
        <v>4905.3900000000003</v>
      </c>
      <c r="F42" s="3">
        <v>38187</v>
      </c>
      <c r="G42" t="s">
        <v>52</v>
      </c>
      <c r="H42">
        <v>3</v>
      </c>
      <c r="I42">
        <v>7</v>
      </c>
      <c r="J42">
        <v>2004</v>
      </c>
      <c r="K42" t="s">
        <v>0</v>
      </c>
      <c r="L42">
        <v>214</v>
      </c>
      <c r="M42" t="s">
        <v>206</v>
      </c>
      <c r="N42" t="s">
        <v>177</v>
      </c>
      <c r="O42" t="s">
        <v>178</v>
      </c>
      <c r="P42" t="s">
        <v>179</v>
      </c>
      <c r="Q42" t="s">
        <v>180</v>
      </c>
      <c r="R42" t="s">
        <v>181</v>
      </c>
      <c r="S42" t="s">
        <v>182</v>
      </c>
      <c r="T42">
        <v>2067</v>
      </c>
      <c r="U42" t="s">
        <v>120</v>
      </c>
      <c r="V42" t="s">
        <v>121</v>
      </c>
      <c r="W42" t="s">
        <v>183</v>
      </c>
      <c r="X42" t="s">
        <v>184</v>
      </c>
      <c r="Y42" t="s">
        <v>76</v>
      </c>
      <c r="Z42" t="str">
        <f>IF(COUNTA(A42:Y42)=0,"Blank","")</f>
        <v/>
      </c>
      <c r="AA42" s="4" t="str">
        <f>TEXT(F42,"mmmm")</f>
        <v>July</v>
      </c>
    </row>
    <row r="43" spans="1:27">
      <c r="A43">
        <v>10280</v>
      </c>
      <c r="B43">
        <v>34</v>
      </c>
      <c r="C43">
        <v>100</v>
      </c>
      <c r="D43">
        <v>2</v>
      </c>
      <c r="E43" s="1">
        <v>8014.82</v>
      </c>
      <c r="F43" s="3">
        <v>38216</v>
      </c>
      <c r="G43" t="s">
        <v>52</v>
      </c>
      <c r="H43">
        <v>3</v>
      </c>
      <c r="I43">
        <v>8</v>
      </c>
      <c r="J43">
        <v>2004</v>
      </c>
      <c r="K43" t="s">
        <v>0</v>
      </c>
      <c r="L43">
        <v>214</v>
      </c>
      <c r="M43" t="s">
        <v>206</v>
      </c>
      <c r="N43" t="s">
        <v>278</v>
      </c>
      <c r="O43" t="s">
        <v>279</v>
      </c>
      <c r="P43" t="s">
        <v>280</v>
      </c>
      <c r="R43" t="s">
        <v>281</v>
      </c>
      <c r="T43">
        <v>10100</v>
      </c>
      <c r="U43" t="s">
        <v>282</v>
      </c>
      <c r="V43" t="s">
        <v>67</v>
      </c>
      <c r="W43" t="s">
        <v>283</v>
      </c>
      <c r="X43" t="s">
        <v>284</v>
      </c>
      <c r="Y43" t="s">
        <v>176</v>
      </c>
      <c r="Z43" t="str">
        <f>IF(COUNTA(A43:Y43)=0,"Blank","")</f>
        <v/>
      </c>
      <c r="AA43" s="4" t="str">
        <f>TEXT(F43,"mmmm")</f>
        <v>August</v>
      </c>
    </row>
    <row r="44" spans="1:27">
      <c r="A44">
        <v>10291</v>
      </c>
      <c r="B44">
        <v>37</v>
      </c>
      <c r="C44">
        <v>100</v>
      </c>
      <c r="D44">
        <v>11</v>
      </c>
      <c r="E44" s="1">
        <v>7136.19</v>
      </c>
      <c r="F44" s="3">
        <v>38238</v>
      </c>
      <c r="G44" t="s">
        <v>52</v>
      </c>
      <c r="H44">
        <v>3</v>
      </c>
      <c r="I44">
        <v>9</v>
      </c>
      <c r="J44">
        <v>2004</v>
      </c>
      <c r="K44" t="s">
        <v>0</v>
      </c>
      <c r="L44">
        <v>214</v>
      </c>
      <c r="M44" t="s">
        <v>206</v>
      </c>
      <c r="N44" t="s">
        <v>285</v>
      </c>
      <c r="O44" t="s">
        <v>286</v>
      </c>
      <c r="P44" t="s">
        <v>287</v>
      </c>
      <c r="R44" t="s">
        <v>288</v>
      </c>
      <c r="T44" t="s">
        <v>289</v>
      </c>
      <c r="U44" t="s">
        <v>212</v>
      </c>
      <c r="V44" t="s">
        <v>67</v>
      </c>
      <c r="W44" t="s">
        <v>290</v>
      </c>
      <c r="X44" t="s">
        <v>230</v>
      </c>
      <c r="Y44" t="s">
        <v>176</v>
      </c>
      <c r="Z44" t="str">
        <f>IF(COUNTA(A44:Y44)=0,"Blank","")</f>
        <v/>
      </c>
      <c r="AA44" s="4" t="str">
        <f>TEXT(F44,"mmmm")</f>
        <v>September</v>
      </c>
    </row>
    <row r="45" spans="1:27">
      <c r="A45">
        <v>10304</v>
      </c>
      <c r="B45">
        <v>47</v>
      </c>
      <c r="C45">
        <v>100</v>
      </c>
      <c r="D45">
        <v>6</v>
      </c>
      <c r="E45" s="1">
        <v>10172.700000000001</v>
      </c>
      <c r="F45" s="3">
        <v>38271</v>
      </c>
      <c r="G45" t="s">
        <v>52</v>
      </c>
      <c r="H45">
        <v>4</v>
      </c>
      <c r="I45">
        <v>10</v>
      </c>
      <c r="J45">
        <v>2004</v>
      </c>
      <c r="K45" t="s">
        <v>0</v>
      </c>
      <c r="L45">
        <v>214</v>
      </c>
      <c r="M45" t="s">
        <v>206</v>
      </c>
      <c r="N45" t="s">
        <v>291</v>
      </c>
      <c r="O45" t="s">
        <v>292</v>
      </c>
      <c r="P45" t="s">
        <v>293</v>
      </c>
      <c r="R45" t="s">
        <v>294</v>
      </c>
      <c r="T45">
        <v>78000</v>
      </c>
      <c r="U45" t="s">
        <v>66</v>
      </c>
      <c r="V45" t="s">
        <v>67</v>
      </c>
      <c r="W45" t="s">
        <v>295</v>
      </c>
      <c r="X45" t="s">
        <v>75</v>
      </c>
      <c r="Y45" t="s">
        <v>176</v>
      </c>
      <c r="Z45" t="str">
        <f>IF(COUNTA(A45:Y45)=0,"Blank","")</f>
        <v/>
      </c>
      <c r="AA45" s="4" t="str">
        <f>TEXT(F45,"mmmm")</f>
        <v>October</v>
      </c>
    </row>
    <row r="46" spans="1:27">
      <c r="A46">
        <v>10312</v>
      </c>
      <c r="B46">
        <v>48</v>
      </c>
      <c r="C46">
        <v>100</v>
      </c>
      <c r="D46">
        <v>3</v>
      </c>
      <c r="E46" s="1">
        <v>11623.7</v>
      </c>
      <c r="F46" s="3">
        <v>38281</v>
      </c>
      <c r="G46" t="s">
        <v>52</v>
      </c>
      <c r="H46">
        <v>4</v>
      </c>
      <c r="I46">
        <v>10</v>
      </c>
      <c r="J46">
        <v>2004</v>
      </c>
      <c r="K46" t="s">
        <v>0</v>
      </c>
      <c r="L46">
        <v>214</v>
      </c>
      <c r="M46" t="s">
        <v>206</v>
      </c>
      <c r="N46" t="s">
        <v>296</v>
      </c>
      <c r="O46">
        <v>4155551450</v>
      </c>
      <c r="P46" t="s">
        <v>297</v>
      </c>
      <c r="R46" t="s">
        <v>298</v>
      </c>
      <c r="S46" t="s">
        <v>80</v>
      </c>
      <c r="T46">
        <v>97562</v>
      </c>
      <c r="U46" t="s">
        <v>1</v>
      </c>
      <c r="V46" t="s">
        <v>58</v>
      </c>
      <c r="W46" t="s">
        <v>299</v>
      </c>
      <c r="X46" t="s">
        <v>300</v>
      </c>
      <c r="Y46" t="s">
        <v>176</v>
      </c>
      <c r="Z46" t="str">
        <f>IF(COUNTA(A46:Y46)=0,"Blank","")</f>
        <v/>
      </c>
      <c r="AA46" s="4" t="str">
        <f>TEXT(F46,"mmmm")</f>
        <v>October</v>
      </c>
    </row>
    <row r="47" spans="1:27">
      <c r="A47">
        <v>10322</v>
      </c>
      <c r="B47">
        <v>40</v>
      </c>
      <c r="C47">
        <v>100</v>
      </c>
      <c r="D47">
        <v>1</v>
      </c>
      <c r="E47" s="1">
        <v>6000.4</v>
      </c>
      <c r="F47" s="3">
        <v>38295</v>
      </c>
      <c r="G47" t="s">
        <v>52</v>
      </c>
      <c r="H47">
        <v>4</v>
      </c>
      <c r="I47">
        <v>11</v>
      </c>
      <c r="J47">
        <v>2004</v>
      </c>
      <c r="K47" t="s">
        <v>0</v>
      </c>
      <c r="L47">
        <v>214</v>
      </c>
      <c r="M47" t="s">
        <v>206</v>
      </c>
      <c r="N47" t="s">
        <v>301</v>
      </c>
      <c r="O47">
        <v>6035558647</v>
      </c>
      <c r="P47" t="s">
        <v>302</v>
      </c>
      <c r="R47" t="s">
        <v>303</v>
      </c>
      <c r="S47" t="s">
        <v>304</v>
      </c>
      <c r="T47">
        <v>62005</v>
      </c>
      <c r="U47" t="s">
        <v>1</v>
      </c>
      <c r="V47" t="s">
        <v>58</v>
      </c>
      <c r="W47" t="s">
        <v>81</v>
      </c>
      <c r="X47" t="s">
        <v>300</v>
      </c>
      <c r="Y47" t="s">
        <v>76</v>
      </c>
      <c r="Z47" t="str">
        <f>IF(COUNTA(A47:Y47)=0,"Blank","")</f>
        <v/>
      </c>
      <c r="AA47" s="4" t="str">
        <f>TEXT(F47,"mmmm")</f>
        <v>November</v>
      </c>
    </row>
    <row r="48" spans="1:27">
      <c r="A48">
        <v>10333</v>
      </c>
      <c r="B48">
        <v>26</v>
      </c>
      <c r="C48">
        <v>100</v>
      </c>
      <c r="D48">
        <v>3</v>
      </c>
      <c r="E48" s="1">
        <v>3003</v>
      </c>
      <c r="F48" s="3">
        <v>38309</v>
      </c>
      <c r="G48" t="s">
        <v>52</v>
      </c>
      <c r="H48">
        <v>4</v>
      </c>
      <c r="I48">
        <v>11</v>
      </c>
      <c r="J48">
        <v>2004</v>
      </c>
      <c r="K48" t="s">
        <v>0</v>
      </c>
      <c r="L48">
        <v>214</v>
      </c>
      <c r="M48" t="s">
        <v>206</v>
      </c>
      <c r="N48" t="s">
        <v>106</v>
      </c>
      <c r="O48">
        <v>6505555787</v>
      </c>
      <c r="P48" t="s">
        <v>107</v>
      </c>
      <c r="R48" t="s">
        <v>85</v>
      </c>
      <c r="S48" t="s">
        <v>80</v>
      </c>
      <c r="U48" t="s">
        <v>1</v>
      </c>
      <c r="V48" t="s">
        <v>58</v>
      </c>
      <c r="W48" t="s">
        <v>108</v>
      </c>
      <c r="X48" t="s">
        <v>82</v>
      </c>
      <c r="Y48" t="s">
        <v>76</v>
      </c>
      <c r="Z48" t="str">
        <f>IF(COUNTA(A48:Y48)=0,"Blank","")</f>
        <v/>
      </c>
      <c r="AA48" s="4" t="str">
        <f>TEXT(F48,"mmmm")</f>
        <v>November</v>
      </c>
    </row>
    <row r="49" spans="1:27">
      <c r="A49">
        <v>10347</v>
      </c>
      <c r="B49">
        <v>30</v>
      </c>
      <c r="C49">
        <v>100</v>
      </c>
      <c r="D49">
        <v>1</v>
      </c>
      <c r="E49" s="1">
        <v>3944.7</v>
      </c>
      <c r="F49" s="3">
        <v>38320</v>
      </c>
      <c r="G49" t="s">
        <v>52</v>
      </c>
      <c r="H49">
        <v>4</v>
      </c>
      <c r="I49">
        <v>11</v>
      </c>
      <c r="J49">
        <v>2004</v>
      </c>
      <c r="K49" t="s">
        <v>0</v>
      </c>
      <c r="L49">
        <v>214</v>
      </c>
      <c r="M49" t="s">
        <v>206</v>
      </c>
      <c r="N49" t="s">
        <v>114</v>
      </c>
      <c r="O49" t="s">
        <v>115</v>
      </c>
      <c r="P49" t="s">
        <v>116</v>
      </c>
      <c r="Q49" t="s">
        <v>117</v>
      </c>
      <c r="R49" t="s">
        <v>118</v>
      </c>
      <c r="S49" t="s">
        <v>119</v>
      </c>
      <c r="T49">
        <v>3004</v>
      </c>
      <c r="U49" t="s">
        <v>120</v>
      </c>
      <c r="V49" t="s">
        <v>121</v>
      </c>
      <c r="W49" t="s">
        <v>122</v>
      </c>
      <c r="X49" t="s">
        <v>123</v>
      </c>
      <c r="Y49" t="s">
        <v>76</v>
      </c>
      <c r="Z49" t="str">
        <f>IF(COUNTA(A49:Y49)=0,"Blank","")</f>
        <v/>
      </c>
      <c r="AA49" s="4" t="str">
        <f>TEXT(F49,"mmmm")</f>
        <v>November</v>
      </c>
    </row>
    <row r="50" spans="1:27">
      <c r="A50">
        <v>10357</v>
      </c>
      <c r="B50">
        <v>32</v>
      </c>
      <c r="C50">
        <v>100</v>
      </c>
      <c r="D50">
        <v>10</v>
      </c>
      <c r="E50" s="1">
        <v>5691.84</v>
      </c>
      <c r="F50" s="3">
        <v>38331</v>
      </c>
      <c r="G50" t="s">
        <v>52</v>
      </c>
      <c r="H50">
        <v>4</v>
      </c>
      <c r="I50">
        <v>12</v>
      </c>
      <c r="J50">
        <v>2004</v>
      </c>
      <c r="K50" t="s">
        <v>0</v>
      </c>
      <c r="L50">
        <v>214</v>
      </c>
      <c r="M50" t="s">
        <v>206</v>
      </c>
      <c r="N50" t="s">
        <v>296</v>
      </c>
      <c r="O50">
        <v>4155551450</v>
      </c>
      <c r="P50" t="s">
        <v>297</v>
      </c>
      <c r="R50" t="s">
        <v>298</v>
      </c>
      <c r="S50" t="s">
        <v>80</v>
      </c>
      <c r="T50">
        <v>97562</v>
      </c>
      <c r="U50" t="s">
        <v>1</v>
      </c>
      <c r="V50" t="s">
        <v>58</v>
      </c>
      <c r="W50" t="s">
        <v>299</v>
      </c>
      <c r="X50" t="s">
        <v>300</v>
      </c>
      <c r="Y50" t="s">
        <v>76</v>
      </c>
      <c r="Z50" t="str">
        <f>IF(COUNTA(A50:Y50)=0,"Blank","")</f>
        <v/>
      </c>
      <c r="AA50" s="4" t="str">
        <f>TEXT(F50,"mmmm")</f>
        <v>December</v>
      </c>
    </row>
    <row r="51" spans="1:27">
      <c r="A51">
        <v>10369</v>
      </c>
      <c r="B51">
        <v>41</v>
      </c>
      <c r="C51">
        <v>100</v>
      </c>
      <c r="D51">
        <v>2</v>
      </c>
      <c r="E51" s="1">
        <v>4514.92</v>
      </c>
      <c r="F51" s="3">
        <v>38372</v>
      </c>
      <c r="G51" t="s">
        <v>52</v>
      </c>
      <c r="H51">
        <v>1</v>
      </c>
      <c r="I51">
        <v>1</v>
      </c>
      <c r="J51">
        <v>2005</v>
      </c>
      <c r="K51" t="s">
        <v>0</v>
      </c>
      <c r="L51">
        <v>214</v>
      </c>
      <c r="M51" t="s">
        <v>206</v>
      </c>
      <c r="N51" t="s">
        <v>305</v>
      </c>
      <c r="O51">
        <v>6175558555</v>
      </c>
      <c r="P51" t="s">
        <v>306</v>
      </c>
      <c r="R51" t="s">
        <v>307</v>
      </c>
      <c r="S51" t="s">
        <v>148</v>
      </c>
      <c r="T51">
        <v>58339</v>
      </c>
      <c r="U51" t="s">
        <v>1</v>
      </c>
      <c r="V51" t="s">
        <v>58</v>
      </c>
      <c r="W51" t="s">
        <v>299</v>
      </c>
      <c r="X51" t="s">
        <v>308</v>
      </c>
      <c r="Y51" t="s">
        <v>76</v>
      </c>
      <c r="Z51" t="str">
        <f>IF(COUNTA(A51:Y51)=0,"Blank","")</f>
        <v/>
      </c>
      <c r="AA51" s="4" t="str">
        <f>TEXT(F51,"mmmm")</f>
        <v>January</v>
      </c>
    </row>
    <row r="52" spans="1:27">
      <c r="A52">
        <v>10381</v>
      </c>
      <c r="B52">
        <v>36</v>
      </c>
      <c r="C52">
        <v>100</v>
      </c>
      <c r="D52">
        <v>3</v>
      </c>
      <c r="E52" s="1">
        <v>8254.7999999999993</v>
      </c>
      <c r="F52" s="3">
        <v>38400</v>
      </c>
      <c r="G52" t="s">
        <v>52</v>
      </c>
      <c r="H52">
        <v>1</v>
      </c>
      <c r="I52">
        <v>2</v>
      </c>
      <c r="J52">
        <v>2005</v>
      </c>
      <c r="K52" t="s">
        <v>0</v>
      </c>
      <c r="L52">
        <v>214</v>
      </c>
      <c r="M52" t="s">
        <v>206</v>
      </c>
      <c r="N52" t="s">
        <v>83</v>
      </c>
      <c r="O52">
        <v>6505551386</v>
      </c>
      <c r="P52" t="s">
        <v>84</v>
      </c>
      <c r="R52" t="s">
        <v>85</v>
      </c>
      <c r="S52" t="s">
        <v>80</v>
      </c>
      <c r="U52" t="s">
        <v>1</v>
      </c>
      <c r="V52" t="s">
        <v>58</v>
      </c>
      <c r="W52" t="s">
        <v>86</v>
      </c>
      <c r="X52" t="s">
        <v>82</v>
      </c>
      <c r="Y52" t="s">
        <v>176</v>
      </c>
      <c r="Z52" t="str">
        <f>IF(COUNTA(A52:Y52)=0,"Blank","")</f>
        <v/>
      </c>
      <c r="AA52" s="4" t="str">
        <f>TEXT(F52,"mmmm")</f>
        <v>February</v>
      </c>
    </row>
    <row r="53" spans="1:27">
      <c r="A53">
        <v>10391</v>
      </c>
      <c r="B53">
        <v>24</v>
      </c>
      <c r="C53">
        <v>100</v>
      </c>
      <c r="D53">
        <v>4</v>
      </c>
      <c r="E53" s="1">
        <v>2416.56</v>
      </c>
      <c r="F53" s="3">
        <v>38420</v>
      </c>
      <c r="G53" t="s">
        <v>52</v>
      </c>
      <c r="H53">
        <v>1</v>
      </c>
      <c r="I53">
        <v>3</v>
      </c>
      <c r="J53">
        <v>2005</v>
      </c>
      <c r="K53" t="s">
        <v>0</v>
      </c>
      <c r="L53">
        <v>214</v>
      </c>
      <c r="M53" t="s">
        <v>206</v>
      </c>
      <c r="N53" t="s">
        <v>309</v>
      </c>
      <c r="O53" t="s">
        <v>310</v>
      </c>
      <c r="P53" t="s">
        <v>311</v>
      </c>
      <c r="Q53" t="s">
        <v>312</v>
      </c>
      <c r="R53" t="s">
        <v>313</v>
      </c>
      <c r="S53" t="s">
        <v>182</v>
      </c>
      <c r="T53">
        <v>2060</v>
      </c>
      <c r="U53" t="s">
        <v>120</v>
      </c>
      <c r="V53" t="s">
        <v>121</v>
      </c>
      <c r="W53" t="s">
        <v>314</v>
      </c>
      <c r="X53" t="s">
        <v>315</v>
      </c>
      <c r="Y53" t="s">
        <v>61</v>
      </c>
      <c r="Z53" t="str">
        <f>IF(COUNTA(A53:Y53)=0,"Blank","")</f>
        <v/>
      </c>
      <c r="AA53" s="4" t="str">
        <f>TEXT(F53,"mmmm")</f>
        <v>March</v>
      </c>
    </row>
    <row r="54" spans="1:27">
      <c r="A54">
        <v>10411</v>
      </c>
      <c r="B54">
        <v>23</v>
      </c>
      <c r="C54">
        <v>100</v>
      </c>
      <c r="D54">
        <v>9</v>
      </c>
      <c r="E54" s="1">
        <v>4140.2299999999996</v>
      </c>
      <c r="F54" s="3">
        <v>38473</v>
      </c>
      <c r="G54" t="s">
        <v>52</v>
      </c>
      <c r="H54">
        <v>2</v>
      </c>
      <c r="I54">
        <v>5</v>
      </c>
      <c r="J54">
        <v>2005</v>
      </c>
      <c r="K54" t="s">
        <v>0</v>
      </c>
      <c r="L54">
        <v>214</v>
      </c>
      <c r="M54" t="s">
        <v>206</v>
      </c>
      <c r="N54" t="s">
        <v>316</v>
      </c>
      <c r="O54" t="s">
        <v>317</v>
      </c>
      <c r="P54" t="s">
        <v>318</v>
      </c>
      <c r="R54" t="s">
        <v>319</v>
      </c>
      <c r="S54" t="s">
        <v>320</v>
      </c>
      <c r="T54" t="s">
        <v>321</v>
      </c>
      <c r="U54" t="s">
        <v>255</v>
      </c>
      <c r="V54" t="s">
        <v>58</v>
      </c>
      <c r="W54" t="s">
        <v>322</v>
      </c>
      <c r="X54" t="s">
        <v>323</v>
      </c>
      <c r="Y54" t="s">
        <v>76</v>
      </c>
      <c r="Z54" t="str">
        <f>IF(COUNTA(A54:Y54)=0,"Blank","")</f>
        <v/>
      </c>
      <c r="AA54" s="4" t="str">
        <f>TEXT(F54,"mmmm")</f>
        <v>May</v>
      </c>
    </row>
    <row r="55" spans="1:27">
      <c r="A55">
        <v>10424</v>
      </c>
      <c r="B55">
        <v>50</v>
      </c>
      <c r="C55">
        <v>100</v>
      </c>
      <c r="D55">
        <v>6</v>
      </c>
      <c r="E55" s="1">
        <v>12001</v>
      </c>
      <c r="F55" s="3">
        <v>38503</v>
      </c>
      <c r="G55" t="s">
        <v>324</v>
      </c>
      <c r="H55">
        <v>2</v>
      </c>
      <c r="I55">
        <v>5</v>
      </c>
      <c r="J55">
        <v>2005</v>
      </c>
      <c r="K55" t="s">
        <v>0</v>
      </c>
      <c r="L55">
        <v>214</v>
      </c>
      <c r="M55" t="s">
        <v>206</v>
      </c>
      <c r="N55" t="s">
        <v>199</v>
      </c>
      <c r="O55" t="s">
        <v>200</v>
      </c>
      <c r="P55" t="s">
        <v>201</v>
      </c>
      <c r="R55" t="s">
        <v>202</v>
      </c>
      <c r="T55">
        <v>28034</v>
      </c>
      <c r="U55" t="s">
        <v>203</v>
      </c>
      <c r="V55" t="s">
        <v>67</v>
      </c>
      <c r="W55" t="s">
        <v>204</v>
      </c>
      <c r="X55" t="s">
        <v>205</v>
      </c>
      <c r="Y55" t="s">
        <v>176</v>
      </c>
      <c r="Z55" t="str">
        <f>IF(COUNTA(A55:Y55)=0,"Blank","")</f>
        <v/>
      </c>
      <c r="AA55" s="4" t="str">
        <f>TEXT(F55,"mmmm")</f>
        <v>May</v>
      </c>
    </row>
    <row r="56" spans="1:27">
      <c r="A56">
        <v>10120</v>
      </c>
      <c r="B56">
        <v>29</v>
      </c>
      <c r="C56">
        <v>96.34</v>
      </c>
      <c r="D56">
        <v>3</v>
      </c>
      <c r="E56" s="1">
        <v>2793.86</v>
      </c>
      <c r="F56" s="3">
        <v>37740</v>
      </c>
      <c r="G56" t="s">
        <v>52</v>
      </c>
      <c r="H56">
        <v>2</v>
      </c>
      <c r="I56">
        <v>4</v>
      </c>
      <c r="J56">
        <v>2003</v>
      </c>
      <c r="K56" t="s">
        <v>7</v>
      </c>
      <c r="L56">
        <v>118</v>
      </c>
      <c r="M56" t="s">
        <v>325</v>
      </c>
      <c r="N56" t="s">
        <v>114</v>
      </c>
      <c r="O56" t="s">
        <v>115</v>
      </c>
      <c r="P56" t="s">
        <v>116</v>
      </c>
      <c r="Q56" t="s">
        <v>117</v>
      </c>
      <c r="R56" t="s">
        <v>118</v>
      </c>
      <c r="S56" t="s">
        <v>119</v>
      </c>
      <c r="T56">
        <v>3004</v>
      </c>
      <c r="U56" t="s">
        <v>120</v>
      </c>
      <c r="V56" t="s">
        <v>121</v>
      </c>
      <c r="W56" t="s">
        <v>122</v>
      </c>
      <c r="X56" t="s">
        <v>123</v>
      </c>
      <c r="Y56" t="s">
        <v>61</v>
      </c>
      <c r="Z56" t="str">
        <f>IF(COUNTA(A56:Y56)=0,"Blank","")</f>
        <v/>
      </c>
      <c r="AA56" s="4" t="str">
        <f>TEXT(F56,"mmmm")</f>
        <v>April</v>
      </c>
    </row>
    <row r="57" spans="1:27">
      <c r="A57">
        <v>10210</v>
      </c>
      <c r="B57">
        <v>23</v>
      </c>
      <c r="C57">
        <v>100</v>
      </c>
      <c r="D57">
        <v>2</v>
      </c>
      <c r="E57" s="1">
        <v>3009.09</v>
      </c>
      <c r="F57" s="3">
        <v>37998</v>
      </c>
      <c r="G57" t="s">
        <v>52</v>
      </c>
      <c r="H57">
        <v>1</v>
      </c>
      <c r="I57">
        <v>1</v>
      </c>
      <c r="J57">
        <v>2004</v>
      </c>
      <c r="K57" t="s">
        <v>7</v>
      </c>
      <c r="L57">
        <v>118</v>
      </c>
      <c r="M57" t="s">
        <v>325</v>
      </c>
      <c r="N57" t="s">
        <v>326</v>
      </c>
      <c r="O57" t="s">
        <v>327</v>
      </c>
      <c r="P57" t="s">
        <v>328</v>
      </c>
      <c r="R57" t="s">
        <v>329</v>
      </c>
      <c r="S57" t="s">
        <v>329</v>
      </c>
      <c r="T57" t="s">
        <v>330</v>
      </c>
      <c r="U57" t="s">
        <v>224</v>
      </c>
      <c r="V57" t="s">
        <v>224</v>
      </c>
      <c r="W57" t="s">
        <v>331</v>
      </c>
      <c r="X57" t="s">
        <v>332</v>
      </c>
      <c r="Y57" t="s">
        <v>76</v>
      </c>
      <c r="Z57" t="str">
        <f>IF(COUNTA(A57:Y57)=0,"Blank","")</f>
        <v/>
      </c>
      <c r="AA57" s="4" t="str">
        <f>TEXT(F57,"mmmm")</f>
        <v>January</v>
      </c>
    </row>
    <row r="58" spans="1:27">
      <c r="A58">
        <v>10236</v>
      </c>
      <c r="B58">
        <v>22</v>
      </c>
      <c r="C58">
        <v>100</v>
      </c>
      <c r="D58">
        <v>1</v>
      </c>
      <c r="E58" s="1">
        <v>2852.08</v>
      </c>
      <c r="F58" s="3">
        <v>38080</v>
      </c>
      <c r="G58" t="s">
        <v>52</v>
      </c>
      <c r="H58">
        <v>2</v>
      </c>
      <c r="I58">
        <v>4</v>
      </c>
      <c r="J58">
        <v>2004</v>
      </c>
      <c r="K58" t="s">
        <v>7</v>
      </c>
      <c r="L58">
        <v>118</v>
      </c>
      <c r="M58" t="s">
        <v>325</v>
      </c>
      <c r="N58" t="s">
        <v>333</v>
      </c>
      <c r="O58">
        <v>2155559857</v>
      </c>
      <c r="P58" t="s">
        <v>334</v>
      </c>
      <c r="R58" t="s">
        <v>240</v>
      </c>
      <c r="S58" t="s">
        <v>167</v>
      </c>
      <c r="T58">
        <v>71270</v>
      </c>
      <c r="U58" t="s">
        <v>1</v>
      </c>
      <c r="V58" t="s">
        <v>58</v>
      </c>
      <c r="W58" t="s">
        <v>149</v>
      </c>
      <c r="X58" t="s">
        <v>335</v>
      </c>
      <c r="Y58" t="s">
        <v>61</v>
      </c>
      <c r="Z58" t="str">
        <f>IF(COUNTA(A58:Y58)=0,"Blank","")</f>
        <v/>
      </c>
      <c r="AA58" s="4" t="str">
        <f>TEXT(F58,"mmmm")</f>
        <v>April</v>
      </c>
    </row>
    <row r="59" spans="1:27">
      <c r="A59">
        <v>10298</v>
      </c>
      <c r="B59">
        <v>39</v>
      </c>
      <c r="C59">
        <v>96.34</v>
      </c>
      <c r="D59">
        <v>1</v>
      </c>
      <c r="E59" s="1">
        <v>3757.26</v>
      </c>
      <c r="F59" s="3">
        <v>38257</v>
      </c>
      <c r="G59" t="s">
        <v>52</v>
      </c>
      <c r="H59">
        <v>3</v>
      </c>
      <c r="I59">
        <v>9</v>
      </c>
      <c r="J59">
        <v>2004</v>
      </c>
      <c r="K59" t="s">
        <v>7</v>
      </c>
      <c r="L59">
        <v>118</v>
      </c>
      <c r="M59" t="s">
        <v>325</v>
      </c>
      <c r="N59" t="s">
        <v>336</v>
      </c>
      <c r="O59" t="s">
        <v>337</v>
      </c>
      <c r="P59" t="s">
        <v>338</v>
      </c>
      <c r="R59" t="s">
        <v>142</v>
      </c>
      <c r="T59">
        <v>44000</v>
      </c>
      <c r="U59" t="s">
        <v>66</v>
      </c>
      <c r="V59" t="s">
        <v>67</v>
      </c>
      <c r="W59" t="s">
        <v>339</v>
      </c>
      <c r="X59" t="s">
        <v>340</v>
      </c>
      <c r="Y59" t="s">
        <v>76</v>
      </c>
      <c r="Z59" t="str">
        <f>IF(COUNTA(A59:Y59)=0,"Blank","")</f>
        <v/>
      </c>
      <c r="AA59" s="4" t="str">
        <f>TEXT(F59,"mmmm")</f>
        <v>September</v>
      </c>
    </row>
    <row r="60" spans="1:27">
      <c r="A60">
        <v>10308</v>
      </c>
      <c r="B60">
        <v>34</v>
      </c>
      <c r="C60">
        <v>100</v>
      </c>
      <c r="D60">
        <v>2</v>
      </c>
      <c r="E60" s="1">
        <v>4043.96</v>
      </c>
      <c r="F60" s="3">
        <v>38275</v>
      </c>
      <c r="G60" t="s">
        <v>52</v>
      </c>
      <c r="H60">
        <v>4</v>
      </c>
      <c r="I60">
        <v>10</v>
      </c>
      <c r="J60">
        <v>2004</v>
      </c>
      <c r="K60" t="s">
        <v>7</v>
      </c>
      <c r="L60">
        <v>118</v>
      </c>
      <c r="M60" t="s">
        <v>325</v>
      </c>
      <c r="N60" t="s">
        <v>341</v>
      </c>
      <c r="O60">
        <v>9145554562</v>
      </c>
      <c r="P60" t="s">
        <v>342</v>
      </c>
      <c r="R60" t="s">
        <v>343</v>
      </c>
      <c r="S60" t="s">
        <v>57</v>
      </c>
      <c r="T60">
        <v>24067</v>
      </c>
      <c r="U60" t="s">
        <v>1</v>
      </c>
      <c r="V60" t="s">
        <v>58</v>
      </c>
      <c r="W60" t="s">
        <v>127</v>
      </c>
      <c r="X60" t="s">
        <v>262</v>
      </c>
      <c r="Y60" t="s">
        <v>76</v>
      </c>
      <c r="Z60" t="str">
        <f>IF(COUNTA(A60:Y60)=0,"Blank","")</f>
        <v/>
      </c>
      <c r="AA60" s="4" t="str">
        <f>TEXT(F60,"mmmm")</f>
        <v>October</v>
      </c>
    </row>
    <row r="61" spans="1:27">
      <c r="A61">
        <v>10339</v>
      </c>
      <c r="B61">
        <v>40</v>
      </c>
      <c r="C61">
        <v>68.92</v>
      </c>
      <c r="D61">
        <v>4</v>
      </c>
      <c r="E61" s="1">
        <v>2756.8</v>
      </c>
      <c r="F61" s="3">
        <v>38314</v>
      </c>
      <c r="G61" t="s">
        <v>52</v>
      </c>
      <c r="H61">
        <v>4</v>
      </c>
      <c r="I61">
        <v>11</v>
      </c>
      <c r="J61">
        <v>2004</v>
      </c>
      <c r="K61" t="s">
        <v>7</v>
      </c>
      <c r="L61">
        <v>118</v>
      </c>
      <c r="M61" t="s">
        <v>325</v>
      </c>
      <c r="N61" t="s">
        <v>270</v>
      </c>
      <c r="O61" t="s">
        <v>271</v>
      </c>
      <c r="P61" t="s">
        <v>272</v>
      </c>
      <c r="R61" t="s">
        <v>273</v>
      </c>
      <c r="S61" t="s">
        <v>274</v>
      </c>
      <c r="T61" t="s">
        <v>275</v>
      </c>
      <c r="U61" t="s">
        <v>224</v>
      </c>
      <c r="V61" t="s">
        <v>224</v>
      </c>
      <c r="W61" t="s">
        <v>276</v>
      </c>
      <c r="X61" t="s">
        <v>277</v>
      </c>
      <c r="Y61" t="s">
        <v>61</v>
      </c>
      <c r="Z61" t="str">
        <f>IF(COUNTA(A61:Y61)=0,"Blank","")</f>
        <v/>
      </c>
      <c r="AA61" s="4" t="str">
        <f>TEXT(F61,"mmmm")</f>
        <v>November</v>
      </c>
    </row>
    <row r="62" spans="1:27">
      <c r="A62">
        <v>10374</v>
      </c>
      <c r="B62">
        <v>39</v>
      </c>
      <c r="C62">
        <v>100</v>
      </c>
      <c r="D62">
        <v>5</v>
      </c>
      <c r="E62" s="1">
        <v>5288.01</v>
      </c>
      <c r="F62" s="3">
        <v>38385</v>
      </c>
      <c r="G62" t="s">
        <v>52</v>
      </c>
      <c r="H62">
        <v>1</v>
      </c>
      <c r="I62">
        <v>2</v>
      </c>
      <c r="J62">
        <v>2005</v>
      </c>
      <c r="K62" t="s">
        <v>7</v>
      </c>
      <c r="L62">
        <v>118</v>
      </c>
      <c r="M62" t="s">
        <v>325</v>
      </c>
      <c r="N62" t="s">
        <v>231</v>
      </c>
      <c r="O62" t="s">
        <v>232</v>
      </c>
      <c r="P62" t="s">
        <v>233</v>
      </c>
      <c r="R62" t="s">
        <v>234</v>
      </c>
      <c r="S62" t="s">
        <v>235</v>
      </c>
      <c r="T62">
        <v>4101</v>
      </c>
      <c r="U62" t="s">
        <v>120</v>
      </c>
      <c r="V62" t="s">
        <v>121</v>
      </c>
      <c r="W62" t="s">
        <v>236</v>
      </c>
      <c r="X62" t="s">
        <v>237</v>
      </c>
      <c r="Y62" t="s">
        <v>76</v>
      </c>
      <c r="Z62" t="str">
        <f>IF(COUNTA(A62:Y62)=0,"Blank","")</f>
        <v/>
      </c>
      <c r="AA62" s="4" t="str">
        <f>TEXT(F62,"mmmm")</f>
        <v>February</v>
      </c>
    </row>
    <row r="63" spans="1:27">
      <c r="A63">
        <v>10402</v>
      </c>
      <c r="B63">
        <v>45</v>
      </c>
      <c r="C63">
        <v>100</v>
      </c>
      <c r="D63">
        <v>1</v>
      </c>
      <c r="E63" s="1">
        <v>5833.8</v>
      </c>
      <c r="F63" s="3">
        <v>38449</v>
      </c>
      <c r="G63" t="s">
        <v>52</v>
      </c>
      <c r="H63">
        <v>2</v>
      </c>
      <c r="I63">
        <v>4</v>
      </c>
      <c r="J63">
        <v>2005</v>
      </c>
      <c r="K63" t="s">
        <v>7</v>
      </c>
      <c r="L63">
        <v>118</v>
      </c>
      <c r="M63" t="s">
        <v>325</v>
      </c>
      <c r="N63" t="s">
        <v>109</v>
      </c>
      <c r="O63" t="s">
        <v>110</v>
      </c>
      <c r="P63" t="s">
        <v>111</v>
      </c>
      <c r="R63" t="s">
        <v>73</v>
      </c>
      <c r="T63">
        <v>75016</v>
      </c>
      <c r="U63" t="s">
        <v>66</v>
      </c>
      <c r="V63" t="s">
        <v>67</v>
      </c>
      <c r="W63" t="s">
        <v>112</v>
      </c>
      <c r="X63" t="s">
        <v>113</v>
      </c>
      <c r="Y63" t="s">
        <v>76</v>
      </c>
      <c r="Z63" t="str">
        <f>IF(COUNTA(A63:Y63)=0,"Blank","")</f>
        <v/>
      </c>
      <c r="AA63" s="4" t="str">
        <f>TEXT(F63,"mmmm")</f>
        <v>April</v>
      </c>
    </row>
    <row r="64" spans="1:27">
      <c r="A64">
        <v>10362</v>
      </c>
      <c r="B64">
        <v>22</v>
      </c>
      <c r="C64">
        <v>100</v>
      </c>
      <c r="D64">
        <v>4</v>
      </c>
      <c r="E64" s="1">
        <v>3664.1</v>
      </c>
      <c r="F64" s="3">
        <v>38357</v>
      </c>
      <c r="G64" t="s">
        <v>52</v>
      </c>
      <c r="H64">
        <v>1</v>
      </c>
      <c r="I64">
        <v>1</v>
      </c>
      <c r="J64">
        <v>2005</v>
      </c>
      <c r="K64" t="s">
        <v>7</v>
      </c>
      <c r="L64">
        <v>193</v>
      </c>
      <c r="M64" t="s">
        <v>344</v>
      </c>
      <c r="N64" t="s">
        <v>87</v>
      </c>
      <c r="O64">
        <v>6505556809</v>
      </c>
      <c r="P64" t="s">
        <v>88</v>
      </c>
      <c r="R64" t="s">
        <v>89</v>
      </c>
      <c r="S64" t="s">
        <v>80</v>
      </c>
      <c r="T64">
        <v>94217</v>
      </c>
      <c r="U64" t="s">
        <v>1</v>
      </c>
      <c r="V64" t="s">
        <v>58</v>
      </c>
      <c r="W64" t="s">
        <v>90</v>
      </c>
      <c r="X64" t="s">
        <v>91</v>
      </c>
      <c r="Y64" t="s">
        <v>76</v>
      </c>
      <c r="Z64" t="str">
        <f>IF(COUNTA(A64:Y64)=0,"Blank","")</f>
        <v/>
      </c>
      <c r="AA64" s="4" t="str">
        <f>TEXT(F64,"mmmm")</f>
        <v>January</v>
      </c>
    </row>
    <row r="65" spans="1:27">
      <c r="A65">
        <v>10105</v>
      </c>
      <c r="B65">
        <v>50</v>
      </c>
      <c r="C65">
        <v>100</v>
      </c>
      <c r="D65">
        <v>2</v>
      </c>
      <c r="E65" s="1">
        <v>7208</v>
      </c>
      <c r="F65" s="3">
        <v>37663</v>
      </c>
      <c r="G65" t="s">
        <v>52</v>
      </c>
      <c r="H65">
        <v>1</v>
      </c>
      <c r="I65">
        <v>2</v>
      </c>
      <c r="J65">
        <v>2003</v>
      </c>
      <c r="K65" t="s">
        <v>0</v>
      </c>
      <c r="L65">
        <v>136</v>
      </c>
      <c r="M65" t="s">
        <v>345</v>
      </c>
      <c r="N65" t="s">
        <v>346</v>
      </c>
      <c r="O65" t="s">
        <v>347</v>
      </c>
      <c r="P65" t="s">
        <v>348</v>
      </c>
      <c r="R65" t="s">
        <v>349</v>
      </c>
      <c r="T65">
        <v>1734</v>
      </c>
      <c r="U65" t="s">
        <v>350</v>
      </c>
      <c r="V65" t="s">
        <v>67</v>
      </c>
      <c r="W65" t="s">
        <v>351</v>
      </c>
      <c r="X65" t="s">
        <v>352</v>
      </c>
      <c r="Y65" t="s">
        <v>176</v>
      </c>
      <c r="Z65" t="str">
        <f>IF(COUNTA(A65:Y65)=0,"Blank","")</f>
        <v/>
      </c>
      <c r="AA65" s="4" t="str">
        <f>TEXT(F65,"mmmm")</f>
        <v>February</v>
      </c>
    </row>
    <row r="66" spans="1:27">
      <c r="A66">
        <v>10119</v>
      </c>
      <c r="B66">
        <v>46</v>
      </c>
      <c r="C66">
        <v>100</v>
      </c>
      <c r="D66">
        <v>11</v>
      </c>
      <c r="E66" s="1">
        <v>5004.8</v>
      </c>
      <c r="F66" s="3">
        <v>37739</v>
      </c>
      <c r="G66" t="s">
        <v>52</v>
      </c>
      <c r="H66">
        <v>2</v>
      </c>
      <c r="I66">
        <v>4</v>
      </c>
      <c r="J66">
        <v>2003</v>
      </c>
      <c r="K66" t="s">
        <v>0</v>
      </c>
      <c r="L66">
        <v>136</v>
      </c>
      <c r="M66" t="s">
        <v>345</v>
      </c>
      <c r="N66" t="s">
        <v>169</v>
      </c>
      <c r="O66" t="s">
        <v>170</v>
      </c>
      <c r="P66" t="s">
        <v>171</v>
      </c>
      <c r="R66" t="s">
        <v>172</v>
      </c>
      <c r="T66">
        <v>5020</v>
      </c>
      <c r="U66" t="s">
        <v>173</v>
      </c>
      <c r="V66" t="s">
        <v>67</v>
      </c>
      <c r="W66" t="s">
        <v>174</v>
      </c>
      <c r="X66" t="s">
        <v>175</v>
      </c>
      <c r="Y66" t="s">
        <v>76</v>
      </c>
      <c r="Z66" t="str">
        <f>IF(COUNTA(A66:Y66)=0,"Blank","")</f>
        <v/>
      </c>
      <c r="AA66" s="4" t="str">
        <f>TEXT(F66,"mmmm")</f>
        <v>April</v>
      </c>
    </row>
    <row r="67" spans="1:27">
      <c r="A67">
        <v>10129</v>
      </c>
      <c r="B67">
        <v>33</v>
      </c>
      <c r="C67">
        <v>100</v>
      </c>
      <c r="D67">
        <v>2</v>
      </c>
      <c r="E67" s="1">
        <v>4398.24</v>
      </c>
      <c r="F67" s="3">
        <v>37784</v>
      </c>
      <c r="G67" t="s">
        <v>52</v>
      </c>
      <c r="H67">
        <v>2</v>
      </c>
      <c r="I67">
        <v>6</v>
      </c>
      <c r="J67">
        <v>2003</v>
      </c>
      <c r="K67" t="s">
        <v>0</v>
      </c>
      <c r="L67">
        <v>136</v>
      </c>
      <c r="M67" t="s">
        <v>345</v>
      </c>
      <c r="N67" t="s">
        <v>353</v>
      </c>
      <c r="O67" t="s">
        <v>354</v>
      </c>
      <c r="P67" t="s">
        <v>355</v>
      </c>
      <c r="R67" t="s">
        <v>356</v>
      </c>
      <c r="T67" t="s">
        <v>357</v>
      </c>
      <c r="U67" t="s">
        <v>195</v>
      </c>
      <c r="V67" t="s">
        <v>67</v>
      </c>
      <c r="W67" t="s">
        <v>86</v>
      </c>
      <c r="X67" t="s">
        <v>358</v>
      </c>
      <c r="Y67" t="s">
        <v>76</v>
      </c>
      <c r="Z67" t="str">
        <f>IF(COUNTA(A67:Y67)=0,"Blank","")</f>
        <v/>
      </c>
      <c r="AA67" s="4" t="str">
        <f>TEXT(F67,"mmmm")</f>
        <v>June</v>
      </c>
    </row>
    <row r="68" spans="1:27">
      <c r="A68">
        <v>10143</v>
      </c>
      <c r="B68">
        <v>49</v>
      </c>
      <c r="C68">
        <v>100</v>
      </c>
      <c r="D68">
        <v>15</v>
      </c>
      <c r="E68" s="1">
        <v>5597.76</v>
      </c>
      <c r="F68" s="3">
        <v>37843</v>
      </c>
      <c r="G68" t="s">
        <v>52</v>
      </c>
      <c r="H68">
        <v>3</v>
      </c>
      <c r="I68">
        <v>8</v>
      </c>
      <c r="J68">
        <v>2003</v>
      </c>
      <c r="K68" t="s">
        <v>0</v>
      </c>
      <c r="L68">
        <v>136</v>
      </c>
      <c r="M68" t="s">
        <v>345</v>
      </c>
      <c r="N68" t="s">
        <v>359</v>
      </c>
      <c r="O68">
        <v>5085559555</v>
      </c>
      <c r="P68" t="s">
        <v>360</v>
      </c>
      <c r="R68" t="s">
        <v>187</v>
      </c>
      <c r="S68" t="s">
        <v>148</v>
      </c>
      <c r="T68">
        <v>50553</v>
      </c>
      <c r="U68" t="s">
        <v>1</v>
      </c>
      <c r="V68" t="s">
        <v>58</v>
      </c>
      <c r="W68" t="s">
        <v>361</v>
      </c>
      <c r="X68" t="s">
        <v>362</v>
      </c>
      <c r="Y68" t="s">
        <v>76</v>
      </c>
      <c r="Z68" t="str">
        <f>IF(COUNTA(A68:Y68)=0,"Blank","")</f>
        <v/>
      </c>
      <c r="AA68" s="4" t="str">
        <f>TEXT(F68,"mmmm")</f>
        <v>August</v>
      </c>
    </row>
    <row r="69" spans="1:27">
      <c r="A69">
        <v>10155</v>
      </c>
      <c r="B69">
        <v>32</v>
      </c>
      <c r="C69">
        <v>100</v>
      </c>
      <c r="D69">
        <v>13</v>
      </c>
      <c r="E69" s="1">
        <v>4526.08</v>
      </c>
      <c r="F69" s="3">
        <v>37900</v>
      </c>
      <c r="G69" t="s">
        <v>52</v>
      </c>
      <c r="H69">
        <v>4</v>
      </c>
      <c r="I69">
        <v>10</v>
      </c>
      <c r="J69">
        <v>2003</v>
      </c>
      <c r="K69" t="s">
        <v>0</v>
      </c>
      <c r="L69">
        <v>136</v>
      </c>
      <c r="M69" t="s">
        <v>345</v>
      </c>
      <c r="N69" t="s">
        <v>151</v>
      </c>
      <c r="O69" t="s">
        <v>152</v>
      </c>
      <c r="P69" t="s">
        <v>153</v>
      </c>
      <c r="R69" t="s">
        <v>154</v>
      </c>
      <c r="T69">
        <v>21240</v>
      </c>
      <c r="U69" t="s">
        <v>155</v>
      </c>
      <c r="V69" t="s">
        <v>67</v>
      </c>
      <c r="W69" t="s">
        <v>156</v>
      </c>
      <c r="X69" t="s">
        <v>157</v>
      </c>
      <c r="Y69" t="s">
        <v>76</v>
      </c>
      <c r="Z69" t="str">
        <f>IF(COUNTA(A69:Y69)=0,"Blank","")</f>
        <v/>
      </c>
      <c r="AA69" s="4" t="str">
        <f>TEXT(F69,"mmmm")</f>
        <v>October</v>
      </c>
    </row>
    <row r="70" spans="1:27">
      <c r="A70">
        <v>10167</v>
      </c>
      <c r="B70">
        <v>44</v>
      </c>
      <c r="C70">
        <v>100</v>
      </c>
      <c r="D70">
        <v>9</v>
      </c>
      <c r="E70" s="1">
        <v>5924.16</v>
      </c>
      <c r="F70" s="3">
        <v>37917</v>
      </c>
      <c r="G70" t="s">
        <v>363</v>
      </c>
      <c r="H70">
        <v>4</v>
      </c>
      <c r="I70">
        <v>10</v>
      </c>
      <c r="J70">
        <v>2003</v>
      </c>
      <c r="K70" t="s">
        <v>0</v>
      </c>
      <c r="L70">
        <v>136</v>
      </c>
      <c r="M70" t="s">
        <v>345</v>
      </c>
      <c r="N70" t="s">
        <v>285</v>
      </c>
      <c r="O70" t="s">
        <v>286</v>
      </c>
      <c r="P70" t="s">
        <v>287</v>
      </c>
      <c r="R70" t="s">
        <v>288</v>
      </c>
      <c r="T70" t="s">
        <v>289</v>
      </c>
      <c r="U70" t="s">
        <v>212</v>
      </c>
      <c r="V70" t="s">
        <v>67</v>
      </c>
      <c r="W70" t="s">
        <v>290</v>
      </c>
      <c r="X70" t="s">
        <v>230</v>
      </c>
      <c r="Y70" t="s">
        <v>76</v>
      </c>
      <c r="Z70" t="str">
        <f>IF(COUNTA(A70:Y70)=0,"Blank","")</f>
        <v/>
      </c>
      <c r="AA70" s="4" t="str">
        <f>TEXT(F70,"mmmm")</f>
        <v>October</v>
      </c>
    </row>
    <row r="71" spans="1:27">
      <c r="A71">
        <v>10178</v>
      </c>
      <c r="B71">
        <v>24</v>
      </c>
      <c r="C71">
        <v>100</v>
      </c>
      <c r="D71">
        <v>12</v>
      </c>
      <c r="E71" s="1">
        <v>3492.48</v>
      </c>
      <c r="F71" s="3">
        <v>37933</v>
      </c>
      <c r="G71" t="s">
        <v>52</v>
      </c>
      <c r="H71">
        <v>4</v>
      </c>
      <c r="I71">
        <v>11</v>
      </c>
      <c r="J71">
        <v>2003</v>
      </c>
      <c r="K71" t="s">
        <v>0</v>
      </c>
      <c r="L71">
        <v>136</v>
      </c>
      <c r="M71" t="s">
        <v>345</v>
      </c>
      <c r="N71" t="s">
        <v>364</v>
      </c>
      <c r="O71" t="s">
        <v>365</v>
      </c>
      <c r="P71" t="s">
        <v>366</v>
      </c>
      <c r="R71" t="s">
        <v>367</v>
      </c>
      <c r="T71">
        <v>31000</v>
      </c>
      <c r="U71" t="s">
        <v>66</v>
      </c>
      <c r="V71" t="s">
        <v>67</v>
      </c>
      <c r="W71" t="s">
        <v>368</v>
      </c>
      <c r="X71" t="s">
        <v>369</v>
      </c>
      <c r="Y71" t="s">
        <v>76</v>
      </c>
      <c r="Z71" t="str">
        <f>IF(COUNTA(A71:Y71)=0,"Blank","")</f>
        <v/>
      </c>
      <c r="AA71" s="4" t="str">
        <f>TEXT(F71,"mmmm")</f>
        <v>November</v>
      </c>
    </row>
    <row r="72" spans="1:27">
      <c r="A72">
        <v>10186</v>
      </c>
      <c r="B72">
        <v>26</v>
      </c>
      <c r="C72">
        <v>100</v>
      </c>
      <c r="D72">
        <v>9</v>
      </c>
      <c r="E72" s="1">
        <v>3854.24</v>
      </c>
      <c r="F72" s="3">
        <v>37939</v>
      </c>
      <c r="G72" t="s">
        <v>52</v>
      </c>
      <c r="H72">
        <v>4</v>
      </c>
      <c r="I72">
        <v>11</v>
      </c>
      <c r="J72">
        <v>2003</v>
      </c>
      <c r="K72" t="s">
        <v>0</v>
      </c>
      <c r="L72">
        <v>136</v>
      </c>
      <c r="M72" t="s">
        <v>345</v>
      </c>
      <c r="N72" t="s">
        <v>370</v>
      </c>
      <c r="O72" t="s">
        <v>371</v>
      </c>
      <c r="P72" t="s">
        <v>372</v>
      </c>
      <c r="R72" t="s">
        <v>356</v>
      </c>
      <c r="T72" t="s">
        <v>373</v>
      </c>
      <c r="U72" t="s">
        <v>195</v>
      </c>
      <c r="V72" t="s">
        <v>67</v>
      </c>
      <c r="W72" t="s">
        <v>374</v>
      </c>
      <c r="X72" t="s">
        <v>375</v>
      </c>
      <c r="Y72" t="s">
        <v>76</v>
      </c>
      <c r="Z72" t="str">
        <f>IF(COUNTA(A72:Y72)=0,"Blank","")</f>
        <v/>
      </c>
      <c r="AA72" s="4" t="str">
        <f>TEXT(F72,"mmmm")</f>
        <v>November</v>
      </c>
    </row>
    <row r="73" spans="1:27">
      <c r="A73">
        <v>10197</v>
      </c>
      <c r="B73">
        <v>45</v>
      </c>
      <c r="C73">
        <v>100</v>
      </c>
      <c r="D73">
        <v>6</v>
      </c>
      <c r="E73" s="1">
        <v>5324.4</v>
      </c>
      <c r="F73" s="3">
        <v>37951</v>
      </c>
      <c r="G73" t="s">
        <v>52</v>
      </c>
      <c r="H73">
        <v>4</v>
      </c>
      <c r="I73">
        <v>11</v>
      </c>
      <c r="J73">
        <v>2003</v>
      </c>
      <c r="K73" t="s">
        <v>0</v>
      </c>
      <c r="L73">
        <v>136</v>
      </c>
      <c r="M73" t="s">
        <v>345</v>
      </c>
      <c r="N73" t="s">
        <v>376</v>
      </c>
      <c r="O73" t="s">
        <v>377</v>
      </c>
      <c r="P73" t="s">
        <v>378</v>
      </c>
      <c r="R73" t="s">
        <v>379</v>
      </c>
      <c r="T73">
        <v>8022</v>
      </c>
      <c r="U73" t="s">
        <v>203</v>
      </c>
      <c r="V73" t="s">
        <v>67</v>
      </c>
      <c r="W73" t="s">
        <v>380</v>
      </c>
      <c r="X73" t="s">
        <v>381</v>
      </c>
      <c r="Y73" t="s">
        <v>76</v>
      </c>
      <c r="Z73" t="str">
        <f>IF(COUNTA(A73:Y73)=0,"Blank","")</f>
        <v/>
      </c>
      <c r="AA73" s="4" t="str">
        <f>TEXT(F73,"mmmm")</f>
        <v>November</v>
      </c>
    </row>
    <row r="74" spans="1:27">
      <c r="A74">
        <v>10209</v>
      </c>
      <c r="B74">
        <v>39</v>
      </c>
      <c r="C74">
        <v>100</v>
      </c>
      <c r="D74">
        <v>8</v>
      </c>
      <c r="E74" s="1">
        <v>5197.92</v>
      </c>
      <c r="F74" s="3">
        <v>37995</v>
      </c>
      <c r="G74" t="s">
        <v>52</v>
      </c>
      <c r="H74">
        <v>1</v>
      </c>
      <c r="I74">
        <v>1</v>
      </c>
      <c r="J74">
        <v>2004</v>
      </c>
      <c r="K74" t="s">
        <v>0</v>
      </c>
      <c r="L74">
        <v>136</v>
      </c>
      <c r="M74" t="s">
        <v>345</v>
      </c>
      <c r="N74" t="s">
        <v>382</v>
      </c>
      <c r="O74">
        <v>2155554369</v>
      </c>
      <c r="P74" t="s">
        <v>383</v>
      </c>
      <c r="R74" t="s">
        <v>384</v>
      </c>
      <c r="S74" t="s">
        <v>80</v>
      </c>
      <c r="U74" t="s">
        <v>1</v>
      </c>
      <c r="V74" t="s">
        <v>58</v>
      </c>
      <c r="W74" t="s">
        <v>385</v>
      </c>
      <c r="X74" t="s">
        <v>128</v>
      </c>
      <c r="Y74" t="s">
        <v>76</v>
      </c>
      <c r="Z74" t="str">
        <f>IF(COUNTA(A74:Y74)=0,"Blank","")</f>
        <v/>
      </c>
      <c r="AA74" s="4" t="str">
        <f>TEXT(F74,"mmmm")</f>
        <v>January</v>
      </c>
    </row>
    <row r="75" spans="1:27">
      <c r="A75">
        <v>10222</v>
      </c>
      <c r="B75">
        <v>49</v>
      </c>
      <c r="C75">
        <v>100</v>
      </c>
      <c r="D75">
        <v>12</v>
      </c>
      <c r="E75" s="1">
        <v>5997.6</v>
      </c>
      <c r="F75" s="3">
        <v>38036</v>
      </c>
      <c r="G75" t="s">
        <v>52</v>
      </c>
      <c r="H75">
        <v>1</v>
      </c>
      <c r="I75">
        <v>2</v>
      </c>
      <c r="J75">
        <v>2004</v>
      </c>
      <c r="K75" t="s">
        <v>0</v>
      </c>
      <c r="L75">
        <v>136</v>
      </c>
      <c r="M75" t="s">
        <v>345</v>
      </c>
      <c r="N75" t="s">
        <v>386</v>
      </c>
      <c r="O75">
        <v>7605558146</v>
      </c>
      <c r="P75" t="s">
        <v>387</v>
      </c>
      <c r="R75" t="s">
        <v>388</v>
      </c>
      <c r="S75" t="s">
        <v>80</v>
      </c>
      <c r="T75">
        <v>91217</v>
      </c>
      <c r="U75" t="s">
        <v>1</v>
      </c>
      <c r="V75" t="s">
        <v>58</v>
      </c>
      <c r="W75" t="s">
        <v>261</v>
      </c>
      <c r="X75" t="s">
        <v>300</v>
      </c>
      <c r="Y75" t="s">
        <v>76</v>
      </c>
      <c r="Z75" t="str">
        <f>IF(COUNTA(A75:Y75)=0,"Blank","")</f>
        <v/>
      </c>
      <c r="AA75" s="4" t="str">
        <f>TEXT(F75,"mmmm")</f>
        <v>February</v>
      </c>
    </row>
    <row r="76" spans="1:27">
      <c r="A76">
        <v>10248</v>
      </c>
      <c r="B76">
        <v>20</v>
      </c>
      <c r="C76">
        <v>100</v>
      </c>
      <c r="D76">
        <v>3</v>
      </c>
      <c r="E76" s="1">
        <v>2910.4</v>
      </c>
      <c r="F76" s="3">
        <v>38114</v>
      </c>
      <c r="G76" t="s">
        <v>363</v>
      </c>
      <c r="H76">
        <v>2</v>
      </c>
      <c r="I76">
        <v>5</v>
      </c>
      <c r="J76">
        <v>2004</v>
      </c>
      <c r="K76" t="s">
        <v>0</v>
      </c>
      <c r="L76">
        <v>136</v>
      </c>
      <c r="M76" t="s">
        <v>345</v>
      </c>
      <c r="N76" t="s">
        <v>54</v>
      </c>
      <c r="O76">
        <v>2125557818</v>
      </c>
      <c r="P76" t="s">
        <v>55</v>
      </c>
      <c r="R76" t="s">
        <v>56</v>
      </c>
      <c r="S76" t="s">
        <v>57</v>
      </c>
      <c r="T76">
        <v>10022</v>
      </c>
      <c r="U76" t="s">
        <v>1</v>
      </c>
      <c r="V76" t="s">
        <v>58</v>
      </c>
      <c r="W76" t="s">
        <v>59</v>
      </c>
      <c r="X76" t="s">
        <v>60</v>
      </c>
      <c r="Y76" t="s">
        <v>61</v>
      </c>
      <c r="Z76" t="str">
        <f>IF(COUNTA(A76:Y76)=0,"Blank","")</f>
        <v/>
      </c>
      <c r="AA76" s="4" t="str">
        <f>TEXT(F76,"mmmm")</f>
        <v>May</v>
      </c>
    </row>
    <row r="77" spans="1:27">
      <c r="A77">
        <v>10261</v>
      </c>
      <c r="B77">
        <v>27</v>
      </c>
      <c r="C77">
        <v>100</v>
      </c>
      <c r="D77">
        <v>1</v>
      </c>
      <c r="E77" s="1">
        <v>3378.24</v>
      </c>
      <c r="F77" s="3">
        <v>38155</v>
      </c>
      <c r="G77" t="s">
        <v>52</v>
      </c>
      <c r="H77">
        <v>2</v>
      </c>
      <c r="I77">
        <v>6</v>
      </c>
      <c r="J77">
        <v>2004</v>
      </c>
      <c r="K77" t="s">
        <v>0</v>
      </c>
      <c r="L77">
        <v>136</v>
      </c>
      <c r="M77" t="s">
        <v>345</v>
      </c>
      <c r="N77" t="s">
        <v>316</v>
      </c>
      <c r="O77" t="s">
        <v>317</v>
      </c>
      <c r="P77" t="s">
        <v>318</v>
      </c>
      <c r="R77" t="s">
        <v>319</v>
      </c>
      <c r="S77" t="s">
        <v>320</v>
      </c>
      <c r="T77" t="s">
        <v>321</v>
      </c>
      <c r="U77" t="s">
        <v>255</v>
      </c>
      <c r="V77" t="s">
        <v>58</v>
      </c>
      <c r="W77" t="s">
        <v>322</v>
      </c>
      <c r="X77" t="s">
        <v>323</v>
      </c>
      <c r="Y77" t="s">
        <v>76</v>
      </c>
      <c r="Z77" t="str">
        <f>IF(COUNTA(A77:Y77)=0,"Blank","")</f>
        <v/>
      </c>
      <c r="AA77" s="4" t="str">
        <f>TEXT(F77,"mmmm")</f>
        <v>June</v>
      </c>
    </row>
    <row r="78" spans="1:27">
      <c r="A78">
        <v>10273</v>
      </c>
      <c r="B78">
        <v>30</v>
      </c>
      <c r="C78">
        <v>100</v>
      </c>
      <c r="D78">
        <v>4</v>
      </c>
      <c r="E78" s="1">
        <v>3508.8</v>
      </c>
      <c r="F78" s="3">
        <v>38189</v>
      </c>
      <c r="G78" t="s">
        <v>52</v>
      </c>
      <c r="H78">
        <v>3</v>
      </c>
      <c r="I78">
        <v>7</v>
      </c>
      <c r="J78">
        <v>2004</v>
      </c>
      <c r="K78" t="s">
        <v>0</v>
      </c>
      <c r="L78">
        <v>136</v>
      </c>
      <c r="M78" t="s">
        <v>345</v>
      </c>
      <c r="N78" t="s">
        <v>389</v>
      </c>
      <c r="O78" t="s">
        <v>390</v>
      </c>
      <c r="P78" t="s">
        <v>391</v>
      </c>
      <c r="R78" t="s">
        <v>392</v>
      </c>
      <c r="T78" t="s">
        <v>393</v>
      </c>
      <c r="U78" t="s">
        <v>394</v>
      </c>
      <c r="V78" t="s">
        <v>67</v>
      </c>
      <c r="W78" t="s">
        <v>395</v>
      </c>
      <c r="X78" t="s">
        <v>396</v>
      </c>
      <c r="Y78" t="s">
        <v>76</v>
      </c>
      <c r="Z78" t="str">
        <f>IF(COUNTA(A78:Y78)=0,"Blank","")</f>
        <v/>
      </c>
      <c r="AA78" s="4" t="str">
        <f>TEXT(F78,"mmmm")</f>
        <v>July</v>
      </c>
    </row>
    <row r="79" spans="1:27">
      <c r="A79">
        <v>10283</v>
      </c>
      <c r="B79">
        <v>25</v>
      </c>
      <c r="C79">
        <v>100</v>
      </c>
      <c r="D79">
        <v>6</v>
      </c>
      <c r="E79" s="1">
        <v>2992</v>
      </c>
      <c r="F79" s="3">
        <v>38219</v>
      </c>
      <c r="G79" t="s">
        <v>52</v>
      </c>
      <c r="H79">
        <v>3</v>
      </c>
      <c r="I79">
        <v>8</v>
      </c>
      <c r="J79">
        <v>2004</v>
      </c>
      <c r="K79" t="s">
        <v>0</v>
      </c>
      <c r="L79">
        <v>136</v>
      </c>
      <c r="M79" t="s">
        <v>345</v>
      </c>
      <c r="N79" t="s">
        <v>397</v>
      </c>
      <c r="O79" t="s">
        <v>398</v>
      </c>
      <c r="P79" t="s">
        <v>399</v>
      </c>
      <c r="R79" t="s">
        <v>400</v>
      </c>
      <c r="S79" t="s">
        <v>253</v>
      </c>
      <c r="T79" t="s">
        <v>401</v>
      </c>
      <c r="U79" t="s">
        <v>255</v>
      </c>
      <c r="V79" t="s">
        <v>58</v>
      </c>
      <c r="W79" t="s">
        <v>402</v>
      </c>
      <c r="X79" t="s">
        <v>197</v>
      </c>
      <c r="Y79" t="s">
        <v>61</v>
      </c>
      <c r="Z79" t="str">
        <f>IF(COUNTA(A79:Y79)=0,"Blank","")</f>
        <v/>
      </c>
      <c r="AA79" s="4" t="str">
        <f>TEXT(F79,"mmmm")</f>
        <v>August</v>
      </c>
    </row>
    <row r="80" spans="1:27">
      <c r="A80">
        <v>10295</v>
      </c>
      <c r="B80">
        <v>24</v>
      </c>
      <c r="C80">
        <v>100</v>
      </c>
      <c r="D80">
        <v>1</v>
      </c>
      <c r="E80" s="1">
        <v>3427.2</v>
      </c>
      <c r="F80" s="3">
        <v>38240</v>
      </c>
      <c r="G80" t="s">
        <v>52</v>
      </c>
      <c r="H80">
        <v>3</v>
      </c>
      <c r="I80">
        <v>9</v>
      </c>
      <c r="J80">
        <v>2004</v>
      </c>
      <c r="K80" t="s">
        <v>0</v>
      </c>
      <c r="L80">
        <v>136</v>
      </c>
      <c r="M80" t="s">
        <v>345</v>
      </c>
      <c r="N80" t="s">
        <v>403</v>
      </c>
      <c r="O80">
        <v>6175559555</v>
      </c>
      <c r="P80" t="s">
        <v>404</v>
      </c>
      <c r="R80" t="s">
        <v>405</v>
      </c>
      <c r="S80" t="s">
        <v>148</v>
      </c>
      <c r="T80">
        <v>51003</v>
      </c>
      <c r="U80" t="s">
        <v>1</v>
      </c>
      <c r="V80" t="s">
        <v>58</v>
      </c>
      <c r="W80" t="s">
        <v>406</v>
      </c>
      <c r="X80" t="s">
        <v>91</v>
      </c>
      <c r="Y80" t="s">
        <v>76</v>
      </c>
      <c r="Z80" t="str">
        <f>IF(COUNTA(A80:Y80)=0,"Blank","")</f>
        <v/>
      </c>
      <c r="AA80" s="4" t="str">
        <f>TEXT(F80,"mmmm")</f>
        <v>September</v>
      </c>
    </row>
    <row r="81" spans="1:27">
      <c r="A81">
        <v>10307</v>
      </c>
      <c r="B81">
        <v>22</v>
      </c>
      <c r="C81">
        <v>100</v>
      </c>
      <c r="D81">
        <v>9</v>
      </c>
      <c r="E81" s="1">
        <v>2692.8</v>
      </c>
      <c r="F81" s="3">
        <v>38274</v>
      </c>
      <c r="G81" t="s">
        <v>52</v>
      </c>
      <c r="H81">
        <v>4</v>
      </c>
      <c r="I81">
        <v>10</v>
      </c>
      <c r="J81">
        <v>2004</v>
      </c>
      <c r="K81" t="s">
        <v>0</v>
      </c>
      <c r="L81">
        <v>136</v>
      </c>
      <c r="M81" t="s">
        <v>345</v>
      </c>
      <c r="N81" t="s">
        <v>238</v>
      </c>
      <c r="O81">
        <v>2155554695</v>
      </c>
      <c r="P81" t="s">
        <v>239</v>
      </c>
      <c r="R81" t="s">
        <v>240</v>
      </c>
      <c r="S81" t="s">
        <v>167</v>
      </c>
      <c r="T81">
        <v>71270</v>
      </c>
      <c r="U81" t="s">
        <v>1</v>
      </c>
      <c r="V81" t="s">
        <v>58</v>
      </c>
      <c r="W81" t="s">
        <v>241</v>
      </c>
      <c r="X81" t="s">
        <v>242</v>
      </c>
      <c r="Y81" t="s">
        <v>61</v>
      </c>
      <c r="Z81" t="str">
        <f>IF(COUNTA(A81:Y81)=0,"Blank","")</f>
        <v/>
      </c>
      <c r="AA81" s="4" t="str">
        <f>TEXT(F81,"mmmm")</f>
        <v>October</v>
      </c>
    </row>
    <row r="82" spans="1:27">
      <c r="A82">
        <v>10316</v>
      </c>
      <c r="B82">
        <v>33</v>
      </c>
      <c r="C82">
        <v>100</v>
      </c>
      <c r="D82">
        <v>17</v>
      </c>
      <c r="E82" s="1">
        <v>4128.96</v>
      </c>
      <c r="F82" s="3">
        <v>38292</v>
      </c>
      <c r="G82" t="s">
        <v>52</v>
      </c>
      <c r="H82">
        <v>4</v>
      </c>
      <c r="I82">
        <v>11</v>
      </c>
      <c r="J82">
        <v>2004</v>
      </c>
      <c r="K82" t="s">
        <v>0</v>
      </c>
      <c r="L82">
        <v>136</v>
      </c>
      <c r="M82" t="s">
        <v>345</v>
      </c>
      <c r="N82" t="s">
        <v>407</v>
      </c>
      <c r="O82" t="s">
        <v>408</v>
      </c>
      <c r="P82" t="s">
        <v>409</v>
      </c>
      <c r="R82" t="s">
        <v>410</v>
      </c>
      <c r="S82" t="s">
        <v>411</v>
      </c>
      <c r="T82" t="s">
        <v>412</v>
      </c>
      <c r="U82" t="s">
        <v>195</v>
      </c>
      <c r="V82" t="s">
        <v>67</v>
      </c>
      <c r="W82" t="s">
        <v>413</v>
      </c>
      <c r="X82" t="s">
        <v>414</v>
      </c>
      <c r="Y82" t="s">
        <v>76</v>
      </c>
      <c r="Z82" t="str">
        <f>IF(COUNTA(A82:Y82)=0,"Blank","")</f>
        <v/>
      </c>
      <c r="AA82" s="4" t="str">
        <f>TEXT(F82,"mmmm")</f>
        <v>November</v>
      </c>
    </row>
    <row r="83" spans="1:27">
      <c r="A83">
        <v>10325</v>
      </c>
      <c r="B83">
        <v>47</v>
      </c>
      <c r="C83">
        <v>64.930000000000007</v>
      </c>
      <c r="D83">
        <v>6</v>
      </c>
      <c r="E83" s="1">
        <v>3051.71</v>
      </c>
      <c r="F83" s="3">
        <v>38296</v>
      </c>
      <c r="G83" t="s">
        <v>52</v>
      </c>
      <c r="H83">
        <v>4</v>
      </c>
      <c r="I83">
        <v>11</v>
      </c>
      <c r="J83">
        <v>2004</v>
      </c>
      <c r="K83" t="s">
        <v>0</v>
      </c>
      <c r="L83">
        <v>136</v>
      </c>
      <c r="M83" t="s">
        <v>345</v>
      </c>
      <c r="N83" t="s">
        <v>158</v>
      </c>
      <c r="O83" t="s">
        <v>159</v>
      </c>
      <c r="P83" t="s">
        <v>160</v>
      </c>
      <c r="R83" t="s">
        <v>161</v>
      </c>
      <c r="T83">
        <v>4110</v>
      </c>
      <c r="U83" t="s">
        <v>103</v>
      </c>
      <c r="V83" t="s">
        <v>67</v>
      </c>
      <c r="W83" t="s">
        <v>162</v>
      </c>
      <c r="X83" t="s">
        <v>163</v>
      </c>
      <c r="Y83" t="s">
        <v>76</v>
      </c>
      <c r="Z83" t="str">
        <f>IF(COUNTA(A83:Y83)=0,"Blank","")</f>
        <v/>
      </c>
      <c r="AA83" s="4" t="str">
        <f>TEXT(F83,"mmmm")</f>
        <v>November</v>
      </c>
    </row>
    <row r="84" spans="1:27">
      <c r="A84">
        <v>10337</v>
      </c>
      <c r="B84">
        <v>25</v>
      </c>
      <c r="C84">
        <v>48.05</v>
      </c>
      <c r="D84">
        <v>8</v>
      </c>
      <c r="E84" s="1">
        <v>1201.25</v>
      </c>
      <c r="F84" s="3">
        <v>38312</v>
      </c>
      <c r="G84" t="s">
        <v>52</v>
      </c>
      <c r="H84">
        <v>4</v>
      </c>
      <c r="I84">
        <v>11</v>
      </c>
      <c r="J84">
        <v>2004</v>
      </c>
      <c r="K84" t="s">
        <v>0</v>
      </c>
      <c r="L84">
        <v>136</v>
      </c>
      <c r="M84" t="s">
        <v>345</v>
      </c>
      <c r="N84" t="s">
        <v>227</v>
      </c>
      <c r="O84">
        <v>2125558493</v>
      </c>
      <c r="P84" t="s">
        <v>228</v>
      </c>
      <c r="Q84" t="s">
        <v>229</v>
      </c>
      <c r="R84" t="s">
        <v>56</v>
      </c>
      <c r="S84" t="s">
        <v>57</v>
      </c>
      <c r="T84">
        <v>10022</v>
      </c>
      <c r="U84" t="s">
        <v>1</v>
      </c>
      <c r="V84" t="s">
        <v>58</v>
      </c>
      <c r="W84" t="s">
        <v>149</v>
      </c>
      <c r="X84" t="s">
        <v>230</v>
      </c>
      <c r="Y84" t="s">
        <v>61</v>
      </c>
      <c r="Z84" t="str">
        <f>IF(COUNTA(A84:Y84)=0,"Blank","")</f>
        <v/>
      </c>
      <c r="AA84" s="4" t="str">
        <f>TEXT(F84,"mmmm")</f>
        <v>November</v>
      </c>
    </row>
    <row r="85" spans="1:27">
      <c r="A85">
        <v>10350</v>
      </c>
      <c r="B85">
        <v>26</v>
      </c>
      <c r="C85">
        <v>75.47</v>
      </c>
      <c r="D85">
        <v>5</v>
      </c>
      <c r="E85" s="1">
        <v>1962.22</v>
      </c>
      <c r="F85" s="3">
        <v>38323</v>
      </c>
      <c r="G85" t="s">
        <v>52</v>
      </c>
      <c r="H85">
        <v>4</v>
      </c>
      <c r="I85">
        <v>12</v>
      </c>
      <c r="J85">
        <v>2004</v>
      </c>
      <c r="K85" t="s">
        <v>0</v>
      </c>
      <c r="L85">
        <v>136</v>
      </c>
      <c r="M85" t="s">
        <v>345</v>
      </c>
      <c r="N85" t="s">
        <v>199</v>
      </c>
      <c r="O85" t="s">
        <v>200</v>
      </c>
      <c r="P85" t="s">
        <v>201</v>
      </c>
      <c r="R85" t="s">
        <v>202</v>
      </c>
      <c r="T85">
        <v>28034</v>
      </c>
      <c r="U85" t="s">
        <v>203</v>
      </c>
      <c r="V85" t="s">
        <v>67</v>
      </c>
      <c r="W85" t="s">
        <v>204</v>
      </c>
      <c r="X85" t="s">
        <v>205</v>
      </c>
      <c r="Y85" t="s">
        <v>61</v>
      </c>
      <c r="Z85" t="str">
        <f>IF(COUNTA(A85:Y85)=0,"Blank","")</f>
        <v/>
      </c>
      <c r="AA85" s="4" t="str">
        <f>TEXT(F85,"mmmm")</f>
        <v>December</v>
      </c>
    </row>
    <row r="86" spans="1:27">
      <c r="A86">
        <v>10359</v>
      </c>
      <c r="B86">
        <v>48</v>
      </c>
      <c r="C86">
        <v>54.68</v>
      </c>
      <c r="D86">
        <v>6</v>
      </c>
      <c r="E86" s="1">
        <v>2624.64</v>
      </c>
      <c r="F86" s="3">
        <v>38336</v>
      </c>
      <c r="G86" t="s">
        <v>52</v>
      </c>
      <c r="H86">
        <v>4</v>
      </c>
      <c r="I86">
        <v>12</v>
      </c>
      <c r="J86">
        <v>2004</v>
      </c>
      <c r="K86" t="s">
        <v>0</v>
      </c>
      <c r="L86">
        <v>136</v>
      </c>
      <c r="M86" t="s">
        <v>345</v>
      </c>
      <c r="N86" t="s">
        <v>62</v>
      </c>
      <c r="O86" t="s">
        <v>63</v>
      </c>
      <c r="P86" t="s">
        <v>64</v>
      </c>
      <c r="R86" t="s">
        <v>65</v>
      </c>
      <c r="T86">
        <v>51100</v>
      </c>
      <c r="U86" t="s">
        <v>66</v>
      </c>
      <c r="V86" t="s">
        <v>67</v>
      </c>
      <c r="W86" t="s">
        <v>68</v>
      </c>
      <c r="X86" t="s">
        <v>69</v>
      </c>
      <c r="Y86" t="s">
        <v>61</v>
      </c>
      <c r="Z86" t="str">
        <f>IF(COUNTA(A86:Y86)=0,"Blank","")</f>
        <v/>
      </c>
      <c r="AA86" s="4" t="str">
        <f>TEXT(F86,"mmmm")</f>
        <v>December</v>
      </c>
    </row>
    <row r="87" spans="1:27">
      <c r="A87">
        <v>10373</v>
      </c>
      <c r="B87">
        <v>39</v>
      </c>
      <c r="C87">
        <v>100</v>
      </c>
      <c r="D87">
        <v>3</v>
      </c>
      <c r="E87" s="1">
        <v>4046.25</v>
      </c>
      <c r="F87" s="3">
        <v>38383</v>
      </c>
      <c r="G87" t="s">
        <v>52</v>
      </c>
      <c r="H87">
        <v>1</v>
      </c>
      <c r="I87">
        <v>1</v>
      </c>
      <c r="J87">
        <v>2005</v>
      </c>
      <c r="K87" t="s">
        <v>0</v>
      </c>
      <c r="L87">
        <v>136</v>
      </c>
      <c r="M87" t="s">
        <v>345</v>
      </c>
      <c r="N87" t="s">
        <v>415</v>
      </c>
      <c r="O87" t="s">
        <v>416</v>
      </c>
      <c r="P87" t="s">
        <v>417</v>
      </c>
      <c r="R87" t="s">
        <v>418</v>
      </c>
      <c r="T87">
        <v>90110</v>
      </c>
      <c r="U87" t="s">
        <v>155</v>
      </c>
      <c r="V87" t="s">
        <v>67</v>
      </c>
      <c r="W87" t="s">
        <v>419</v>
      </c>
      <c r="X87" t="s">
        <v>420</v>
      </c>
      <c r="Y87" t="s">
        <v>76</v>
      </c>
      <c r="Z87" t="str">
        <f>IF(COUNTA(A87:Y87)=0,"Blank","")</f>
        <v/>
      </c>
      <c r="AA87" s="4" t="str">
        <f>TEXT(F87,"mmmm")</f>
        <v>January</v>
      </c>
    </row>
    <row r="88" spans="1:27">
      <c r="A88">
        <v>10384</v>
      </c>
      <c r="B88">
        <v>34</v>
      </c>
      <c r="C88">
        <v>100</v>
      </c>
      <c r="D88">
        <v>4</v>
      </c>
      <c r="E88" s="1">
        <v>4846.7</v>
      </c>
      <c r="F88" s="3">
        <v>38406</v>
      </c>
      <c r="G88" t="s">
        <v>52</v>
      </c>
      <c r="H88">
        <v>1</v>
      </c>
      <c r="I88">
        <v>2</v>
      </c>
      <c r="J88">
        <v>2005</v>
      </c>
      <c r="K88" t="s">
        <v>0</v>
      </c>
      <c r="L88">
        <v>136</v>
      </c>
      <c r="M88" t="s">
        <v>345</v>
      </c>
      <c r="N88" t="s">
        <v>83</v>
      </c>
      <c r="O88">
        <v>6505551386</v>
      </c>
      <c r="P88" t="s">
        <v>84</v>
      </c>
      <c r="R88" t="s">
        <v>85</v>
      </c>
      <c r="S88" t="s">
        <v>80</v>
      </c>
      <c r="U88" t="s">
        <v>1</v>
      </c>
      <c r="V88" t="s">
        <v>58</v>
      </c>
      <c r="W88" t="s">
        <v>86</v>
      </c>
      <c r="X88" t="s">
        <v>82</v>
      </c>
      <c r="Y88" t="s">
        <v>76</v>
      </c>
      <c r="Z88" t="str">
        <f>IF(COUNTA(A88:Y88)=0,"Blank","")</f>
        <v/>
      </c>
      <c r="AA88" s="4" t="str">
        <f>TEXT(F88,"mmmm")</f>
        <v>February</v>
      </c>
    </row>
    <row r="89" spans="1:27">
      <c r="A89">
        <v>10395</v>
      </c>
      <c r="B89">
        <v>32</v>
      </c>
      <c r="C89">
        <v>100</v>
      </c>
      <c r="D89">
        <v>2</v>
      </c>
      <c r="E89" s="1">
        <v>3370.56</v>
      </c>
      <c r="F89" s="3">
        <v>38428</v>
      </c>
      <c r="G89" t="s">
        <v>52</v>
      </c>
      <c r="H89">
        <v>1</v>
      </c>
      <c r="I89">
        <v>3</v>
      </c>
      <c r="J89">
        <v>2005</v>
      </c>
      <c r="K89" t="s">
        <v>0</v>
      </c>
      <c r="L89">
        <v>136</v>
      </c>
      <c r="M89" t="s">
        <v>345</v>
      </c>
      <c r="N89" t="s">
        <v>70</v>
      </c>
      <c r="O89" t="s">
        <v>71</v>
      </c>
      <c r="P89" t="s">
        <v>72</v>
      </c>
      <c r="R89" t="s">
        <v>73</v>
      </c>
      <c r="T89">
        <v>75508</v>
      </c>
      <c r="U89" t="s">
        <v>66</v>
      </c>
      <c r="V89" t="s">
        <v>67</v>
      </c>
      <c r="W89" t="s">
        <v>74</v>
      </c>
      <c r="X89" t="s">
        <v>75</v>
      </c>
      <c r="Y89" t="s">
        <v>76</v>
      </c>
      <c r="Z89" t="str">
        <f>IF(COUNTA(A89:Y89)=0,"Blank","")</f>
        <v/>
      </c>
      <c r="AA89" s="4" t="str">
        <f>TEXT(F89,"mmmm")</f>
        <v>March</v>
      </c>
    </row>
    <row r="90" spans="1:27">
      <c r="A90">
        <v>10400</v>
      </c>
      <c r="B90">
        <v>64</v>
      </c>
      <c r="C90">
        <v>100</v>
      </c>
      <c r="D90">
        <v>9</v>
      </c>
      <c r="E90" s="1">
        <v>9661.44</v>
      </c>
      <c r="F90" s="3">
        <v>38443</v>
      </c>
      <c r="G90" t="s">
        <v>52</v>
      </c>
      <c r="H90">
        <v>2</v>
      </c>
      <c r="I90">
        <v>4</v>
      </c>
      <c r="J90">
        <v>2005</v>
      </c>
      <c r="K90" t="s">
        <v>0</v>
      </c>
      <c r="L90">
        <v>136</v>
      </c>
      <c r="M90" t="s">
        <v>345</v>
      </c>
      <c r="N90" t="s">
        <v>421</v>
      </c>
      <c r="O90">
        <v>4085553659</v>
      </c>
      <c r="P90" t="s">
        <v>422</v>
      </c>
      <c r="R90" t="s">
        <v>423</v>
      </c>
      <c r="S90" t="s">
        <v>80</v>
      </c>
      <c r="T90">
        <v>94217</v>
      </c>
      <c r="U90" t="s">
        <v>1</v>
      </c>
      <c r="V90" t="s">
        <v>58</v>
      </c>
      <c r="W90" t="s">
        <v>127</v>
      </c>
      <c r="X90" t="s">
        <v>424</v>
      </c>
      <c r="Y90" t="s">
        <v>176</v>
      </c>
      <c r="Z90" t="str">
        <f>IF(COUNTA(A90:Y90)=0,"Blank","")</f>
        <v/>
      </c>
      <c r="AA90" s="4" t="str">
        <f>TEXT(F90,"mmmm")</f>
        <v>April</v>
      </c>
    </row>
    <row r="91" spans="1:27">
      <c r="A91">
        <v>10414</v>
      </c>
      <c r="B91">
        <v>19</v>
      </c>
      <c r="C91">
        <v>100</v>
      </c>
      <c r="D91">
        <v>3</v>
      </c>
      <c r="E91" s="1">
        <v>2764.88</v>
      </c>
      <c r="F91" s="3">
        <v>38478</v>
      </c>
      <c r="G91" t="s">
        <v>425</v>
      </c>
      <c r="H91">
        <v>2</v>
      </c>
      <c r="I91">
        <v>5</v>
      </c>
      <c r="J91">
        <v>2005</v>
      </c>
      <c r="K91" t="s">
        <v>0</v>
      </c>
      <c r="L91">
        <v>136</v>
      </c>
      <c r="M91" t="s">
        <v>345</v>
      </c>
      <c r="N91" t="s">
        <v>403</v>
      </c>
      <c r="O91">
        <v>6175559555</v>
      </c>
      <c r="P91" t="s">
        <v>404</v>
      </c>
      <c r="R91" t="s">
        <v>405</v>
      </c>
      <c r="S91" t="s">
        <v>148</v>
      </c>
      <c r="T91">
        <v>51003</v>
      </c>
      <c r="U91" t="s">
        <v>1</v>
      </c>
      <c r="V91" t="s">
        <v>58</v>
      </c>
      <c r="W91" t="s">
        <v>406</v>
      </c>
      <c r="X91" t="s">
        <v>91</v>
      </c>
      <c r="Y91" t="s">
        <v>61</v>
      </c>
      <c r="Z91" t="str">
        <f>IF(COUNTA(A91:Y91)=0,"Blank","")</f>
        <v/>
      </c>
      <c r="AA91" s="4" t="str">
        <f>TEXT(F91,"mmmm")</f>
        <v>May</v>
      </c>
    </row>
    <row r="92" spans="1:27">
      <c r="A92">
        <v>10114</v>
      </c>
      <c r="B92">
        <v>31</v>
      </c>
      <c r="C92">
        <v>100</v>
      </c>
      <c r="D92">
        <v>8</v>
      </c>
      <c r="E92" s="1">
        <v>4305.28</v>
      </c>
      <c r="F92" s="3">
        <v>37712</v>
      </c>
      <c r="G92" t="s">
        <v>52</v>
      </c>
      <c r="H92">
        <v>2</v>
      </c>
      <c r="I92">
        <v>4</v>
      </c>
      <c r="J92">
        <v>2003</v>
      </c>
      <c r="K92" t="s">
        <v>0</v>
      </c>
      <c r="L92">
        <v>147</v>
      </c>
      <c r="M92" t="s">
        <v>426</v>
      </c>
      <c r="N92" t="s">
        <v>427</v>
      </c>
      <c r="O92" t="s">
        <v>428</v>
      </c>
      <c r="P92" t="s">
        <v>429</v>
      </c>
      <c r="R92" t="s">
        <v>73</v>
      </c>
      <c r="T92">
        <v>75012</v>
      </c>
      <c r="U92" t="s">
        <v>66</v>
      </c>
      <c r="V92" t="s">
        <v>67</v>
      </c>
      <c r="W92" t="s">
        <v>430</v>
      </c>
      <c r="X92" t="s">
        <v>431</v>
      </c>
      <c r="Y92" t="s">
        <v>76</v>
      </c>
      <c r="Z92" t="str">
        <f>IF(COUNTA(A92:Y92)=0,"Blank","")</f>
        <v/>
      </c>
      <c r="AA92" s="4" t="str">
        <f>TEXT(F92,"mmmm")</f>
        <v>April</v>
      </c>
    </row>
    <row r="93" spans="1:27">
      <c r="A93">
        <v>10164</v>
      </c>
      <c r="B93">
        <v>21</v>
      </c>
      <c r="C93">
        <v>100</v>
      </c>
      <c r="D93">
        <v>2</v>
      </c>
      <c r="E93" s="1">
        <v>3536.82</v>
      </c>
      <c r="F93" s="3">
        <v>37915</v>
      </c>
      <c r="G93" t="s">
        <v>432</v>
      </c>
      <c r="H93">
        <v>4</v>
      </c>
      <c r="I93">
        <v>10</v>
      </c>
      <c r="J93">
        <v>2003</v>
      </c>
      <c r="K93" t="s">
        <v>0</v>
      </c>
      <c r="L93">
        <v>147</v>
      </c>
      <c r="M93" t="s">
        <v>426</v>
      </c>
      <c r="N93" t="s">
        <v>433</v>
      </c>
      <c r="O93" t="s">
        <v>434</v>
      </c>
      <c r="P93" t="s">
        <v>435</v>
      </c>
      <c r="R93" t="s">
        <v>436</v>
      </c>
      <c r="T93">
        <v>8010</v>
      </c>
      <c r="U93" t="s">
        <v>173</v>
      </c>
      <c r="V93" t="s">
        <v>67</v>
      </c>
      <c r="W93" t="s">
        <v>437</v>
      </c>
      <c r="X93" t="s">
        <v>438</v>
      </c>
      <c r="Y93" t="s">
        <v>76</v>
      </c>
      <c r="Z93" t="str">
        <f>IF(COUNTA(A93:Y93)=0,"Blank","")</f>
        <v/>
      </c>
      <c r="AA93" s="4" t="str">
        <f>TEXT(F93,"mmmm")</f>
        <v>October</v>
      </c>
    </row>
    <row r="94" spans="1:27">
      <c r="A94">
        <v>10175</v>
      </c>
      <c r="B94">
        <v>33</v>
      </c>
      <c r="C94">
        <v>100</v>
      </c>
      <c r="D94">
        <v>9</v>
      </c>
      <c r="E94" s="1">
        <v>5362.83</v>
      </c>
      <c r="F94" s="3">
        <v>37931</v>
      </c>
      <c r="G94" t="s">
        <v>52</v>
      </c>
      <c r="H94">
        <v>4</v>
      </c>
      <c r="I94">
        <v>11</v>
      </c>
      <c r="J94">
        <v>2003</v>
      </c>
      <c r="K94" t="s">
        <v>0</v>
      </c>
      <c r="L94">
        <v>147</v>
      </c>
      <c r="M94" t="s">
        <v>426</v>
      </c>
      <c r="N94" t="s">
        <v>353</v>
      </c>
      <c r="O94" t="s">
        <v>354</v>
      </c>
      <c r="P94" t="s">
        <v>355</v>
      </c>
      <c r="R94" t="s">
        <v>356</v>
      </c>
      <c r="T94" t="s">
        <v>357</v>
      </c>
      <c r="U94" t="s">
        <v>195</v>
      </c>
      <c r="V94" t="s">
        <v>67</v>
      </c>
      <c r="W94" t="s">
        <v>86</v>
      </c>
      <c r="X94" t="s">
        <v>358</v>
      </c>
      <c r="Y94" t="s">
        <v>76</v>
      </c>
      <c r="Z94" t="str">
        <f>IF(COUNTA(A94:Y94)=0,"Blank","")</f>
        <v/>
      </c>
      <c r="AA94" s="4" t="str">
        <f>TEXT(F94,"mmmm")</f>
        <v>November</v>
      </c>
    </row>
    <row r="95" spans="1:27">
      <c r="A95">
        <v>10207</v>
      </c>
      <c r="B95">
        <v>31</v>
      </c>
      <c r="C95">
        <v>100</v>
      </c>
      <c r="D95">
        <v>15</v>
      </c>
      <c r="E95" s="1">
        <v>4076.19</v>
      </c>
      <c r="F95" s="3">
        <v>37964</v>
      </c>
      <c r="G95" t="s">
        <v>52</v>
      </c>
      <c r="H95">
        <v>4</v>
      </c>
      <c r="I95">
        <v>12</v>
      </c>
      <c r="J95">
        <v>2003</v>
      </c>
      <c r="K95" t="s">
        <v>0</v>
      </c>
      <c r="L95">
        <v>147</v>
      </c>
      <c r="M95" t="s">
        <v>426</v>
      </c>
      <c r="N95" t="s">
        <v>439</v>
      </c>
      <c r="O95">
        <v>6175552555</v>
      </c>
      <c r="P95" t="s">
        <v>440</v>
      </c>
      <c r="R95" t="s">
        <v>405</v>
      </c>
      <c r="S95" t="s">
        <v>148</v>
      </c>
      <c r="T95">
        <v>51003</v>
      </c>
      <c r="U95" t="s">
        <v>1</v>
      </c>
      <c r="V95" t="s">
        <v>58</v>
      </c>
      <c r="W95" t="s">
        <v>441</v>
      </c>
      <c r="X95" t="s">
        <v>300</v>
      </c>
      <c r="Y95" t="s">
        <v>76</v>
      </c>
      <c r="Z95" t="str">
        <f>IF(COUNTA(A95:Y95)=0,"Blank","")</f>
        <v/>
      </c>
      <c r="AA95" s="4" t="str">
        <f>TEXT(F95,"mmmm")</f>
        <v>December</v>
      </c>
    </row>
    <row r="96" spans="1:27">
      <c r="A96">
        <v>10217</v>
      </c>
      <c r="B96">
        <v>48</v>
      </c>
      <c r="C96">
        <v>100</v>
      </c>
      <c r="D96">
        <v>4</v>
      </c>
      <c r="E96" s="1">
        <v>7020.48</v>
      </c>
      <c r="F96" s="3">
        <v>38021</v>
      </c>
      <c r="G96" t="s">
        <v>52</v>
      </c>
      <c r="H96">
        <v>1</v>
      </c>
      <c r="I96">
        <v>2</v>
      </c>
      <c r="J96">
        <v>2004</v>
      </c>
      <c r="K96" t="s">
        <v>0</v>
      </c>
      <c r="L96">
        <v>147</v>
      </c>
      <c r="M96" t="s">
        <v>426</v>
      </c>
      <c r="N96" t="s">
        <v>442</v>
      </c>
      <c r="O96" t="s">
        <v>443</v>
      </c>
      <c r="P96" t="s">
        <v>444</v>
      </c>
      <c r="Q96" t="s">
        <v>445</v>
      </c>
      <c r="R96" t="s">
        <v>223</v>
      </c>
      <c r="T96">
        <v>69045</v>
      </c>
      <c r="U96" t="s">
        <v>223</v>
      </c>
      <c r="V96" t="s">
        <v>121</v>
      </c>
      <c r="W96" t="s">
        <v>446</v>
      </c>
      <c r="X96" t="s">
        <v>447</v>
      </c>
      <c r="Y96" t="s">
        <v>176</v>
      </c>
      <c r="Z96" t="str">
        <f>IF(COUNTA(A96:Y96)=0,"Blank","")</f>
        <v/>
      </c>
      <c r="AA96" s="4" t="str">
        <f>TEXT(F96,"mmmm")</f>
        <v>February</v>
      </c>
    </row>
    <row r="97" spans="1:27">
      <c r="A97">
        <v>10229</v>
      </c>
      <c r="B97">
        <v>50</v>
      </c>
      <c r="C97">
        <v>100</v>
      </c>
      <c r="D97">
        <v>9</v>
      </c>
      <c r="E97" s="1">
        <v>6426.5</v>
      </c>
      <c r="F97" s="3">
        <v>38057</v>
      </c>
      <c r="G97" t="s">
        <v>52</v>
      </c>
      <c r="H97">
        <v>1</v>
      </c>
      <c r="I97">
        <v>3</v>
      </c>
      <c r="J97">
        <v>2004</v>
      </c>
      <c r="K97" t="s">
        <v>0</v>
      </c>
      <c r="L97">
        <v>147</v>
      </c>
      <c r="M97" t="s">
        <v>426</v>
      </c>
      <c r="N97" t="s">
        <v>296</v>
      </c>
      <c r="O97">
        <v>4155551450</v>
      </c>
      <c r="P97" t="s">
        <v>297</v>
      </c>
      <c r="R97" t="s">
        <v>298</v>
      </c>
      <c r="S97" t="s">
        <v>80</v>
      </c>
      <c r="T97">
        <v>97562</v>
      </c>
      <c r="U97" t="s">
        <v>1</v>
      </c>
      <c r="V97" t="s">
        <v>58</v>
      </c>
      <c r="W97" t="s">
        <v>299</v>
      </c>
      <c r="X97" t="s">
        <v>300</v>
      </c>
      <c r="Y97" t="s">
        <v>76</v>
      </c>
      <c r="Z97" t="str">
        <f>IF(COUNTA(A97:Y97)=0,"Blank","")</f>
        <v/>
      </c>
      <c r="AA97" s="4" t="str">
        <f>TEXT(F97,"mmmm")</f>
        <v>March</v>
      </c>
    </row>
    <row r="98" spans="1:27">
      <c r="A98">
        <v>10259</v>
      </c>
      <c r="B98">
        <v>26</v>
      </c>
      <c r="C98">
        <v>100</v>
      </c>
      <c r="D98">
        <v>12</v>
      </c>
      <c r="E98" s="1">
        <v>4033.38</v>
      </c>
      <c r="F98" s="3">
        <v>38153</v>
      </c>
      <c r="G98" t="s">
        <v>52</v>
      </c>
      <c r="H98">
        <v>2</v>
      </c>
      <c r="I98">
        <v>6</v>
      </c>
      <c r="J98">
        <v>2004</v>
      </c>
      <c r="K98" t="s">
        <v>0</v>
      </c>
      <c r="L98">
        <v>147</v>
      </c>
      <c r="M98" t="s">
        <v>426</v>
      </c>
      <c r="N98" t="s">
        <v>442</v>
      </c>
      <c r="O98" t="s">
        <v>443</v>
      </c>
      <c r="P98" t="s">
        <v>444</v>
      </c>
      <c r="Q98" t="s">
        <v>445</v>
      </c>
      <c r="R98" t="s">
        <v>223</v>
      </c>
      <c r="T98">
        <v>69045</v>
      </c>
      <c r="U98" t="s">
        <v>223</v>
      </c>
      <c r="V98" t="s">
        <v>121</v>
      </c>
      <c r="W98" t="s">
        <v>446</v>
      </c>
      <c r="X98" t="s">
        <v>447</v>
      </c>
      <c r="Y98" t="s">
        <v>76</v>
      </c>
      <c r="Z98" t="str">
        <f>IF(COUNTA(A98:Y98)=0,"Blank","")</f>
        <v/>
      </c>
      <c r="AA98" s="4" t="str">
        <f>TEXT(F98,"mmmm")</f>
        <v>June</v>
      </c>
    </row>
    <row r="99" spans="1:27">
      <c r="A99">
        <v>10281</v>
      </c>
      <c r="B99">
        <v>44</v>
      </c>
      <c r="C99">
        <v>100</v>
      </c>
      <c r="D99">
        <v>9</v>
      </c>
      <c r="E99" s="1">
        <v>7020.64</v>
      </c>
      <c r="F99" s="3">
        <v>38218</v>
      </c>
      <c r="G99" t="s">
        <v>52</v>
      </c>
      <c r="H99">
        <v>3</v>
      </c>
      <c r="I99">
        <v>8</v>
      </c>
      <c r="J99">
        <v>2004</v>
      </c>
      <c r="K99" t="s">
        <v>0</v>
      </c>
      <c r="L99">
        <v>147</v>
      </c>
      <c r="M99" t="s">
        <v>426</v>
      </c>
      <c r="N99" t="s">
        <v>164</v>
      </c>
      <c r="O99">
        <v>2155551555</v>
      </c>
      <c r="P99" t="s">
        <v>165</v>
      </c>
      <c r="R99" t="s">
        <v>166</v>
      </c>
      <c r="S99" t="s">
        <v>167</v>
      </c>
      <c r="T99">
        <v>70267</v>
      </c>
      <c r="U99" t="s">
        <v>1</v>
      </c>
      <c r="V99" t="s">
        <v>58</v>
      </c>
      <c r="W99" t="s">
        <v>59</v>
      </c>
      <c r="X99" t="s">
        <v>168</v>
      </c>
      <c r="Y99" t="s">
        <v>176</v>
      </c>
      <c r="Z99" t="str">
        <f>IF(COUNTA(A99:Y99)=0,"Blank","")</f>
        <v/>
      </c>
      <c r="AA99" s="4" t="str">
        <f>TEXT(F99,"mmmm")</f>
        <v>August</v>
      </c>
    </row>
    <row r="100" spans="1:27">
      <c r="A100">
        <v>10305</v>
      </c>
      <c r="B100">
        <v>38</v>
      </c>
      <c r="C100">
        <v>100</v>
      </c>
      <c r="D100">
        <v>13</v>
      </c>
      <c r="E100" s="1">
        <v>6680.78</v>
      </c>
      <c r="F100" s="3">
        <v>38273</v>
      </c>
      <c r="G100" t="s">
        <v>52</v>
      </c>
      <c r="H100">
        <v>4</v>
      </c>
      <c r="I100">
        <v>10</v>
      </c>
      <c r="J100">
        <v>2004</v>
      </c>
      <c r="K100" t="s">
        <v>0</v>
      </c>
      <c r="L100">
        <v>147</v>
      </c>
      <c r="M100" t="s">
        <v>426</v>
      </c>
      <c r="N100" t="s">
        <v>145</v>
      </c>
      <c r="O100">
        <v>6175558555</v>
      </c>
      <c r="P100" t="s">
        <v>146</v>
      </c>
      <c r="R100" t="s">
        <v>147</v>
      </c>
      <c r="S100" t="s">
        <v>148</v>
      </c>
      <c r="T100">
        <v>51247</v>
      </c>
      <c r="U100" t="s">
        <v>1</v>
      </c>
      <c r="V100" t="s">
        <v>58</v>
      </c>
      <c r="W100" t="s">
        <v>149</v>
      </c>
      <c r="X100" t="s">
        <v>150</v>
      </c>
      <c r="Y100" t="s">
        <v>76</v>
      </c>
      <c r="Z100" t="str">
        <f>IF(COUNTA(A100:Y100)=0,"Blank","")</f>
        <v/>
      </c>
      <c r="AA100" s="4" t="str">
        <f>TEXT(F100,"mmmm")</f>
        <v>October</v>
      </c>
    </row>
    <row r="101" spans="1:27">
      <c r="A101">
        <v>10313</v>
      </c>
      <c r="B101">
        <v>40</v>
      </c>
      <c r="C101">
        <v>100</v>
      </c>
      <c r="D101">
        <v>7</v>
      </c>
      <c r="E101" s="1">
        <v>6678</v>
      </c>
      <c r="F101" s="3">
        <v>38282</v>
      </c>
      <c r="G101" t="s">
        <v>52</v>
      </c>
      <c r="H101">
        <v>4</v>
      </c>
      <c r="I101">
        <v>10</v>
      </c>
      <c r="J101">
        <v>2004</v>
      </c>
      <c r="K101" t="s">
        <v>0</v>
      </c>
      <c r="L101">
        <v>147</v>
      </c>
      <c r="M101" t="s">
        <v>426</v>
      </c>
      <c r="N101" t="s">
        <v>249</v>
      </c>
      <c r="O101" t="s">
        <v>250</v>
      </c>
      <c r="P101" t="s">
        <v>251</v>
      </c>
      <c r="R101" t="s">
        <v>252</v>
      </c>
      <c r="S101" t="s">
        <v>253</v>
      </c>
      <c r="T101" t="s">
        <v>254</v>
      </c>
      <c r="U101" t="s">
        <v>255</v>
      </c>
      <c r="V101" t="s">
        <v>58</v>
      </c>
      <c r="W101" t="s">
        <v>256</v>
      </c>
      <c r="X101" t="s">
        <v>257</v>
      </c>
      <c r="Y101" t="s">
        <v>76</v>
      </c>
      <c r="Z101" t="str">
        <f>IF(COUNTA(A101:Y101)=0,"Blank","")</f>
        <v/>
      </c>
      <c r="AA101" s="4" t="str">
        <f>TEXT(F101,"mmmm")</f>
        <v>October</v>
      </c>
    </row>
    <row r="102" spans="1:27">
      <c r="A102">
        <v>10334</v>
      </c>
      <c r="B102">
        <v>26</v>
      </c>
      <c r="C102">
        <v>100</v>
      </c>
      <c r="D102">
        <v>2</v>
      </c>
      <c r="E102" s="1">
        <v>3188.12</v>
      </c>
      <c r="F102" s="3">
        <v>38310</v>
      </c>
      <c r="G102" t="s">
        <v>425</v>
      </c>
      <c r="H102">
        <v>4</v>
      </c>
      <c r="I102">
        <v>11</v>
      </c>
      <c r="J102">
        <v>2004</v>
      </c>
      <c r="K102" t="s">
        <v>0</v>
      </c>
      <c r="L102">
        <v>147</v>
      </c>
      <c r="M102" t="s">
        <v>426</v>
      </c>
      <c r="N102" t="s">
        <v>207</v>
      </c>
      <c r="O102" t="s">
        <v>208</v>
      </c>
      <c r="P102" t="s">
        <v>209</v>
      </c>
      <c r="R102" t="s">
        <v>210</v>
      </c>
      <c r="T102" t="s">
        <v>211</v>
      </c>
      <c r="U102" t="s">
        <v>212</v>
      </c>
      <c r="V102" t="s">
        <v>67</v>
      </c>
      <c r="W102" t="s">
        <v>213</v>
      </c>
      <c r="X102" t="s">
        <v>214</v>
      </c>
      <c r="Y102" t="s">
        <v>76</v>
      </c>
      <c r="Z102" t="str">
        <f>IF(COUNTA(A102:Y102)=0,"Blank","")</f>
        <v/>
      </c>
      <c r="AA102" s="4" t="str">
        <f>TEXT(F102,"mmmm")</f>
        <v>November</v>
      </c>
    </row>
    <row r="103" spans="1:27">
      <c r="A103">
        <v>10370</v>
      </c>
      <c r="B103">
        <v>35</v>
      </c>
      <c r="C103">
        <v>65.63</v>
      </c>
      <c r="D103">
        <v>4</v>
      </c>
      <c r="E103" s="1">
        <v>2297.0500000000002</v>
      </c>
      <c r="F103" s="3">
        <v>38372</v>
      </c>
      <c r="G103" t="s">
        <v>52</v>
      </c>
      <c r="H103">
        <v>1</v>
      </c>
      <c r="I103">
        <v>1</v>
      </c>
      <c r="J103">
        <v>2005</v>
      </c>
      <c r="K103" t="s">
        <v>0</v>
      </c>
      <c r="L103">
        <v>147</v>
      </c>
      <c r="M103" t="s">
        <v>426</v>
      </c>
      <c r="N103" t="s">
        <v>309</v>
      </c>
      <c r="O103" t="s">
        <v>310</v>
      </c>
      <c r="P103" t="s">
        <v>311</v>
      </c>
      <c r="Q103" t="s">
        <v>312</v>
      </c>
      <c r="R103" t="s">
        <v>313</v>
      </c>
      <c r="S103" t="s">
        <v>182</v>
      </c>
      <c r="T103">
        <v>2060</v>
      </c>
      <c r="U103" t="s">
        <v>120</v>
      </c>
      <c r="V103" t="s">
        <v>121</v>
      </c>
      <c r="W103" t="s">
        <v>314</v>
      </c>
      <c r="X103" t="s">
        <v>315</v>
      </c>
      <c r="Y103" t="s">
        <v>61</v>
      </c>
      <c r="Z103" t="str">
        <f>IF(COUNTA(A103:Y103)=0,"Blank","")</f>
        <v/>
      </c>
      <c r="AA103" s="4" t="str">
        <f>TEXT(F103,"mmmm")</f>
        <v>January</v>
      </c>
    </row>
    <row r="104" spans="1:27">
      <c r="A104">
        <v>10425</v>
      </c>
      <c r="B104">
        <v>38</v>
      </c>
      <c r="C104">
        <v>100</v>
      </c>
      <c r="D104">
        <v>12</v>
      </c>
      <c r="E104" s="1">
        <v>5894.94</v>
      </c>
      <c r="F104" s="3">
        <v>38503</v>
      </c>
      <c r="G104" t="s">
        <v>324</v>
      </c>
      <c r="H104">
        <v>2</v>
      </c>
      <c r="I104">
        <v>5</v>
      </c>
      <c r="J104">
        <v>2005</v>
      </c>
      <c r="K104" t="s">
        <v>0</v>
      </c>
      <c r="L104">
        <v>147</v>
      </c>
      <c r="M104" t="s">
        <v>426</v>
      </c>
      <c r="N104" t="s">
        <v>139</v>
      </c>
      <c r="O104" t="s">
        <v>140</v>
      </c>
      <c r="P104" t="s">
        <v>141</v>
      </c>
      <c r="R104" t="s">
        <v>142</v>
      </c>
      <c r="T104">
        <v>44000</v>
      </c>
      <c r="U104" t="s">
        <v>66</v>
      </c>
      <c r="V104" t="s">
        <v>67</v>
      </c>
      <c r="W104" t="s">
        <v>143</v>
      </c>
      <c r="X104" t="s">
        <v>144</v>
      </c>
      <c r="Y104" t="s">
        <v>76</v>
      </c>
      <c r="Z104" t="str">
        <f>IF(COUNTA(A104:Y104)=0,"Blank","")</f>
        <v/>
      </c>
      <c r="AA104" s="4" t="str">
        <f>TEXT(F104,"mmmm")</f>
        <v>May</v>
      </c>
    </row>
    <row r="105" spans="1:27">
      <c r="A105">
        <v>10108</v>
      </c>
      <c r="B105">
        <v>33</v>
      </c>
      <c r="C105">
        <v>100</v>
      </c>
      <c r="D105">
        <v>6</v>
      </c>
      <c r="E105" s="1">
        <v>5265.15</v>
      </c>
      <c r="F105" s="3">
        <v>37683</v>
      </c>
      <c r="G105" t="s">
        <v>52</v>
      </c>
      <c r="H105">
        <v>1</v>
      </c>
      <c r="I105">
        <v>3</v>
      </c>
      <c r="J105">
        <v>2003</v>
      </c>
      <c r="K105" t="s">
        <v>0</v>
      </c>
      <c r="L105">
        <v>194</v>
      </c>
      <c r="M105" t="s">
        <v>448</v>
      </c>
      <c r="N105" t="s">
        <v>449</v>
      </c>
      <c r="O105" t="s">
        <v>450</v>
      </c>
      <c r="P105" t="s">
        <v>451</v>
      </c>
      <c r="R105" t="s">
        <v>452</v>
      </c>
      <c r="T105" t="s">
        <v>453</v>
      </c>
      <c r="U105" t="s">
        <v>454</v>
      </c>
      <c r="V105" t="s">
        <v>224</v>
      </c>
      <c r="W105" t="s">
        <v>455</v>
      </c>
      <c r="X105" t="s">
        <v>456</v>
      </c>
      <c r="Y105" t="s">
        <v>76</v>
      </c>
      <c r="Z105" t="str">
        <f>IF(COUNTA(A105:Y105)=0,"Blank","")</f>
        <v/>
      </c>
      <c r="AA105" s="4" t="str">
        <f>TEXT(F105,"mmmm")</f>
        <v>March</v>
      </c>
    </row>
    <row r="106" spans="1:27">
      <c r="A106">
        <v>10122</v>
      </c>
      <c r="B106">
        <v>42</v>
      </c>
      <c r="C106">
        <v>100</v>
      </c>
      <c r="D106">
        <v>10</v>
      </c>
      <c r="E106" s="1">
        <v>7599.9</v>
      </c>
      <c r="F106" s="3">
        <v>37749</v>
      </c>
      <c r="G106" t="s">
        <v>52</v>
      </c>
      <c r="H106">
        <v>2</v>
      </c>
      <c r="I106">
        <v>5</v>
      </c>
      <c r="J106">
        <v>2003</v>
      </c>
      <c r="K106" t="s">
        <v>0</v>
      </c>
      <c r="L106">
        <v>194</v>
      </c>
      <c r="M106" t="s">
        <v>448</v>
      </c>
      <c r="N106" t="s">
        <v>457</v>
      </c>
      <c r="O106" t="s">
        <v>458</v>
      </c>
      <c r="P106" t="s">
        <v>459</v>
      </c>
      <c r="R106" t="s">
        <v>460</v>
      </c>
      <c r="T106">
        <v>13008</v>
      </c>
      <c r="U106" t="s">
        <v>66</v>
      </c>
      <c r="V106" t="s">
        <v>67</v>
      </c>
      <c r="W106" t="s">
        <v>461</v>
      </c>
      <c r="X106" t="s">
        <v>462</v>
      </c>
      <c r="Y106" t="s">
        <v>176</v>
      </c>
      <c r="Z106" t="str">
        <f>IF(COUNTA(A106:Y106)=0,"Blank","")</f>
        <v/>
      </c>
      <c r="AA106" s="4" t="str">
        <f>TEXT(F106,"mmmm")</f>
        <v>May</v>
      </c>
    </row>
    <row r="107" spans="1:27">
      <c r="A107">
        <v>10135</v>
      </c>
      <c r="B107">
        <v>42</v>
      </c>
      <c r="C107">
        <v>100</v>
      </c>
      <c r="D107">
        <v>7</v>
      </c>
      <c r="E107" s="1">
        <v>8008.56</v>
      </c>
      <c r="F107" s="3">
        <v>37804</v>
      </c>
      <c r="G107" t="s">
        <v>52</v>
      </c>
      <c r="H107">
        <v>3</v>
      </c>
      <c r="I107">
        <v>7</v>
      </c>
      <c r="J107">
        <v>2003</v>
      </c>
      <c r="K107" t="s">
        <v>0</v>
      </c>
      <c r="L107">
        <v>194</v>
      </c>
      <c r="M107" t="s">
        <v>448</v>
      </c>
      <c r="N107" t="s">
        <v>296</v>
      </c>
      <c r="O107">
        <v>4155551450</v>
      </c>
      <c r="P107" t="s">
        <v>297</v>
      </c>
      <c r="R107" t="s">
        <v>298</v>
      </c>
      <c r="S107" t="s">
        <v>80</v>
      </c>
      <c r="T107">
        <v>97562</v>
      </c>
      <c r="U107" t="s">
        <v>1</v>
      </c>
      <c r="V107" t="s">
        <v>58</v>
      </c>
      <c r="W107" t="s">
        <v>299</v>
      </c>
      <c r="X107" t="s">
        <v>300</v>
      </c>
      <c r="Y107" t="s">
        <v>176</v>
      </c>
      <c r="Z107" t="str">
        <f>IF(COUNTA(A107:Y107)=0,"Blank","")</f>
        <v/>
      </c>
      <c r="AA107" s="4" t="str">
        <f>TEXT(F107,"mmmm")</f>
        <v>July</v>
      </c>
    </row>
    <row r="108" spans="1:27">
      <c r="A108">
        <v>10147</v>
      </c>
      <c r="B108">
        <v>48</v>
      </c>
      <c r="C108">
        <v>100</v>
      </c>
      <c r="D108">
        <v>7</v>
      </c>
      <c r="E108" s="1">
        <v>9245.76</v>
      </c>
      <c r="F108" s="3">
        <v>37869</v>
      </c>
      <c r="G108" t="s">
        <v>52</v>
      </c>
      <c r="H108">
        <v>3</v>
      </c>
      <c r="I108">
        <v>9</v>
      </c>
      <c r="J108">
        <v>2003</v>
      </c>
      <c r="K108" t="s">
        <v>0</v>
      </c>
      <c r="L108">
        <v>194</v>
      </c>
      <c r="M108" t="s">
        <v>448</v>
      </c>
      <c r="N108" t="s">
        <v>305</v>
      </c>
      <c r="O108">
        <v>6175558555</v>
      </c>
      <c r="P108" t="s">
        <v>306</v>
      </c>
      <c r="R108" t="s">
        <v>307</v>
      </c>
      <c r="S108" t="s">
        <v>148</v>
      </c>
      <c r="T108">
        <v>58339</v>
      </c>
      <c r="U108" t="s">
        <v>1</v>
      </c>
      <c r="V108" t="s">
        <v>58</v>
      </c>
      <c r="W108" t="s">
        <v>299</v>
      </c>
      <c r="X108" t="s">
        <v>308</v>
      </c>
      <c r="Y108" t="s">
        <v>176</v>
      </c>
      <c r="Z108" t="str">
        <f>IF(COUNTA(A108:Y108)=0,"Blank","")</f>
        <v/>
      </c>
      <c r="AA108" s="4" t="str">
        <f>TEXT(F108,"mmmm")</f>
        <v>September</v>
      </c>
    </row>
    <row r="109" spans="1:27">
      <c r="A109">
        <v>10169</v>
      </c>
      <c r="B109">
        <v>30</v>
      </c>
      <c r="C109">
        <v>100</v>
      </c>
      <c r="D109">
        <v>2</v>
      </c>
      <c r="E109" s="1">
        <v>5019.8999999999996</v>
      </c>
      <c r="F109" s="3">
        <v>37929</v>
      </c>
      <c r="G109" t="s">
        <v>52</v>
      </c>
      <c r="H109">
        <v>4</v>
      </c>
      <c r="I109">
        <v>11</v>
      </c>
      <c r="J109">
        <v>2003</v>
      </c>
      <c r="K109" t="s">
        <v>0</v>
      </c>
      <c r="L109">
        <v>194</v>
      </c>
      <c r="M109" t="s">
        <v>448</v>
      </c>
      <c r="N109" t="s">
        <v>309</v>
      </c>
      <c r="O109" t="s">
        <v>310</v>
      </c>
      <c r="P109" t="s">
        <v>311</v>
      </c>
      <c r="Q109" t="s">
        <v>312</v>
      </c>
      <c r="R109" t="s">
        <v>313</v>
      </c>
      <c r="S109" t="s">
        <v>182</v>
      </c>
      <c r="T109">
        <v>2060</v>
      </c>
      <c r="U109" t="s">
        <v>120</v>
      </c>
      <c r="V109" t="s">
        <v>121</v>
      </c>
      <c r="W109" t="s">
        <v>314</v>
      </c>
      <c r="X109" t="s">
        <v>315</v>
      </c>
      <c r="Y109" t="s">
        <v>76</v>
      </c>
      <c r="Z109" t="str">
        <f>IF(COUNTA(A109:Y109)=0,"Blank","")</f>
        <v/>
      </c>
      <c r="AA109" s="4" t="str">
        <f>TEXT(F109,"mmmm")</f>
        <v>November</v>
      </c>
    </row>
    <row r="110" spans="1:27">
      <c r="A110">
        <v>10181</v>
      </c>
      <c r="B110">
        <v>27</v>
      </c>
      <c r="C110">
        <v>100</v>
      </c>
      <c r="D110">
        <v>14</v>
      </c>
      <c r="E110" s="1">
        <v>5411.07</v>
      </c>
      <c r="F110" s="3">
        <v>37937</v>
      </c>
      <c r="G110" t="s">
        <v>52</v>
      </c>
      <c r="H110">
        <v>4</v>
      </c>
      <c r="I110">
        <v>11</v>
      </c>
      <c r="J110">
        <v>2003</v>
      </c>
      <c r="K110" t="s">
        <v>0</v>
      </c>
      <c r="L110">
        <v>194</v>
      </c>
      <c r="M110" t="s">
        <v>448</v>
      </c>
      <c r="N110" t="s">
        <v>98</v>
      </c>
      <c r="O110" t="s">
        <v>99</v>
      </c>
      <c r="P110" t="s">
        <v>100</v>
      </c>
      <c r="R110" t="s">
        <v>101</v>
      </c>
      <c r="T110" t="s">
        <v>102</v>
      </c>
      <c r="U110" t="s">
        <v>103</v>
      </c>
      <c r="V110" t="s">
        <v>67</v>
      </c>
      <c r="W110" t="s">
        <v>104</v>
      </c>
      <c r="X110" t="s">
        <v>105</v>
      </c>
      <c r="Y110" t="s">
        <v>76</v>
      </c>
      <c r="Z110" t="str">
        <f>IF(COUNTA(A110:Y110)=0,"Blank","")</f>
        <v/>
      </c>
      <c r="AA110" s="4" t="str">
        <f>TEXT(F110,"mmmm")</f>
        <v>November</v>
      </c>
    </row>
    <row r="111" spans="1:27">
      <c r="A111">
        <v>10191</v>
      </c>
      <c r="B111">
        <v>21</v>
      </c>
      <c r="C111">
        <v>100</v>
      </c>
      <c r="D111">
        <v>3</v>
      </c>
      <c r="E111" s="1">
        <v>3840.9</v>
      </c>
      <c r="F111" s="3">
        <v>37945</v>
      </c>
      <c r="G111" t="s">
        <v>52</v>
      </c>
      <c r="H111">
        <v>4</v>
      </c>
      <c r="I111">
        <v>11</v>
      </c>
      <c r="J111">
        <v>2003</v>
      </c>
      <c r="K111" t="s">
        <v>0</v>
      </c>
      <c r="L111">
        <v>194</v>
      </c>
      <c r="M111" t="s">
        <v>448</v>
      </c>
      <c r="N111" t="s">
        <v>463</v>
      </c>
      <c r="O111" t="s">
        <v>464</v>
      </c>
      <c r="P111" t="s">
        <v>465</v>
      </c>
      <c r="R111" t="s">
        <v>466</v>
      </c>
      <c r="T111">
        <v>50739</v>
      </c>
      <c r="U111" t="s">
        <v>467</v>
      </c>
      <c r="V111" t="s">
        <v>67</v>
      </c>
      <c r="W111" t="s">
        <v>468</v>
      </c>
      <c r="X111" t="s">
        <v>469</v>
      </c>
      <c r="Y111" t="s">
        <v>76</v>
      </c>
      <c r="Z111" t="str">
        <f>IF(COUNTA(A111:Y111)=0,"Blank","")</f>
        <v/>
      </c>
      <c r="AA111" s="4" t="str">
        <f>TEXT(F111,"mmmm")</f>
        <v>November</v>
      </c>
    </row>
    <row r="112" spans="1:27">
      <c r="A112">
        <v>10203</v>
      </c>
      <c r="B112">
        <v>20</v>
      </c>
      <c r="C112">
        <v>100</v>
      </c>
      <c r="D112">
        <v>8</v>
      </c>
      <c r="E112" s="1">
        <v>3930.4</v>
      </c>
      <c r="F112" s="3">
        <v>37957</v>
      </c>
      <c r="G112" t="s">
        <v>52</v>
      </c>
      <c r="H112">
        <v>4</v>
      </c>
      <c r="I112">
        <v>12</v>
      </c>
      <c r="J112">
        <v>2003</v>
      </c>
      <c r="K112" t="s">
        <v>0</v>
      </c>
      <c r="L112">
        <v>194</v>
      </c>
      <c r="M112" t="s">
        <v>448</v>
      </c>
      <c r="N112" t="s">
        <v>199</v>
      </c>
      <c r="O112" t="s">
        <v>200</v>
      </c>
      <c r="P112" t="s">
        <v>201</v>
      </c>
      <c r="R112" t="s">
        <v>202</v>
      </c>
      <c r="T112">
        <v>28034</v>
      </c>
      <c r="U112" t="s">
        <v>203</v>
      </c>
      <c r="V112" t="s">
        <v>67</v>
      </c>
      <c r="W112" t="s">
        <v>204</v>
      </c>
      <c r="X112" t="s">
        <v>205</v>
      </c>
      <c r="Y112" t="s">
        <v>76</v>
      </c>
      <c r="Z112" t="str">
        <f>IF(COUNTA(A112:Y112)=0,"Blank","")</f>
        <v/>
      </c>
      <c r="AA112" s="4" t="str">
        <f>TEXT(F112,"mmmm")</f>
        <v>December</v>
      </c>
    </row>
    <row r="113" spans="1:27">
      <c r="A113">
        <v>10225</v>
      </c>
      <c r="B113">
        <v>27</v>
      </c>
      <c r="C113">
        <v>100</v>
      </c>
      <c r="D113">
        <v>9</v>
      </c>
      <c r="E113" s="1">
        <v>4517.91</v>
      </c>
      <c r="F113" s="3">
        <v>38039</v>
      </c>
      <c r="G113" t="s">
        <v>52</v>
      </c>
      <c r="H113">
        <v>1</v>
      </c>
      <c r="I113">
        <v>2</v>
      </c>
      <c r="J113">
        <v>2004</v>
      </c>
      <c r="K113" t="s">
        <v>0</v>
      </c>
      <c r="L113">
        <v>194</v>
      </c>
      <c r="M113" t="s">
        <v>448</v>
      </c>
      <c r="N113" t="s">
        <v>470</v>
      </c>
      <c r="O113" t="s">
        <v>471</v>
      </c>
      <c r="P113" t="s">
        <v>472</v>
      </c>
      <c r="R113" t="s">
        <v>473</v>
      </c>
      <c r="T113">
        <v>1203</v>
      </c>
      <c r="U113" t="s">
        <v>474</v>
      </c>
      <c r="V113" t="s">
        <v>67</v>
      </c>
      <c r="W113" t="s">
        <v>475</v>
      </c>
      <c r="X113" t="s">
        <v>128</v>
      </c>
      <c r="Y113" t="s">
        <v>76</v>
      </c>
      <c r="Z113" t="str">
        <f>IF(COUNTA(A113:Y113)=0,"Blank","")</f>
        <v/>
      </c>
      <c r="AA113" s="4" t="str">
        <f>TEXT(F113,"mmmm")</f>
        <v>February</v>
      </c>
    </row>
    <row r="114" spans="1:27">
      <c r="A114">
        <v>10238</v>
      </c>
      <c r="B114">
        <v>28</v>
      </c>
      <c r="C114">
        <v>100</v>
      </c>
      <c r="D114">
        <v>3</v>
      </c>
      <c r="E114" s="1">
        <v>5774.72</v>
      </c>
      <c r="F114" s="3">
        <v>38086</v>
      </c>
      <c r="G114" t="s">
        <v>52</v>
      </c>
      <c r="H114">
        <v>2</v>
      </c>
      <c r="I114">
        <v>4</v>
      </c>
      <c r="J114">
        <v>2004</v>
      </c>
      <c r="K114" t="s">
        <v>0</v>
      </c>
      <c r="L114">
        <v>194</v>
      </c>
      <c r="M114" t="s">
        <v>448</v>
      </c>
      <c r="N114" t="s">
        <v>346</v>
      </c>
      <c r="O114" t="s">
        <v>347</v>
      </c>
      <c r="P114" t="s">
        <v>348</v>
      </c>
      <c r="R114" t="s">
        <v>349</v>
      </c>
      <c r="T114">
        <v>1734</v>
      </c>
      <c r="U114" t="s">
        <v>350</v>
      </c>
      <c r="V114" t="s">
        <v>67</v>
      </c>
      <c r="W114" t="s">
        <v>351</v>
      </c>
      <c r="X114" t="s">
        <v>352</v>
      </c>
      <c r="Y114" t="s">
        <v>76</v>
      </c>
      <c r="Z114" t="str">
        <f>IF(COUNTA(A114:Y114)=0,"Blank","")</f>
        <v/>
      </c>
      <c r="AA114" s="4" t="str">
        <f>TEXT(F114,"mmmm")</f>
        <v>April</v>
      </c>
    </row>
    <row r="115" spans="1:27">
      <c r="A115">
        <v>10253</v>
      </c>
      <c r="B115">
        <v>24</v>
      </c>
      <c r="C115">
        <v>100</v>
      </c>
      <c r="D115">
        <v>13</v>
      </c>
      <c r="E115" s="1">
        <v>3922.56</v>
      </c>
      <c r="F115" s="3">
        <v>38139</v>
      </c>
      <c r="G115" t="s">
        <v>363</v>
      </c>
      <c r="H115">
        <v>2</v>
      </c>
      <c r="I115">
        <v>6</v>
      </c>
      <c r="J115">
        <v>2004</v>
      </c>
      <c r="K115" t="s">
        <v>0</v>
      </c>
      <c r="L115">
        <v>194</v>
      </c>
      <c r="M115" t="s">
        <v>448</v>
      </c>
      <c r="N115" t="s">
        <v>190</v>
      </c>
      <c r="O115" t="s">
        <v>191</v>
      </c>
      <c r="P115" t="s">
        <v>192</v>
      </c>
      <c r="R115" t="s">
        <v>193</v>
      </c>
      <c r="T115" t="s">
        <v>194</v>
      </c>
      <c r="U115" t="s">
        <v>195</v>
      </c>
      <c r="V115" t="s">
        <v>67</v>
      </c>
      <c r="W115" t="s">
        <v>196</v>
      </c>
      <c r="X115" t="s">
        <v>197</v>
      </c>
      <c r="Y115" t="s">
        <v>76</v>
      </c>
      <c r="Z115" t="str">
        <f>IF(COUNTA(A115:Y115)=0,"Blank","")</f>
        <v/>
      </c>
      <c r="AA115" s="4" t="str">
        <f>TEXT(F115,"mmmm")</f>
        <v>June</v>
      </c>
    </row>
    <row r="116" spans="1:27">
      <c r="A116">
        <v>10266</v>
      </c>
      <c r="B116">
        <v>44</v>
      </c>
      <c r="C116">
        <v>100</v>
      </c>
      <c r="D116">
        <v>14</v>
      </c>
      <c r="E116" s="1">
        <v>9160.36</v>
      </c>
      <c r="F116" s="3">
        <v>38174</v>
      </c>
      <c r="G116" t="s">
        <v>52</v>
      </c>
      <c r="H116">
        <v>3</v>
      </c>
      <c r="I116">
        <v>7</v>
      </c>
      <c r="J116">
        <v>2004</v>
      </c>
      <c r="K116" t="s">
        <v>0</v>
      </c>
      <c r="L116">
        <v>194</v>
      </c>
      <c r="M116" t="s">
        <v>448</v>
      </c>
      <c r="N116" t="s">
        <v>476</v>
      </c>
      <c r="O116" t="s">
        <v>477</v>
      </c>
      <c r="P116" t="s">
        <v>478</v>
      </c>
      <c r="R116" t="s">
        <v>479</v>
      </c>
      <c r="T116">
        <v>42100</v>
      </c>
      <c r="U116" t="s">
        <v>282</v>
      </c>
      <c r="V116" t="s">
        <v>67</v>
      </c>
      <c r="W116" t="s">
        <v>480</v>
      </c>
      <c r="X116" t="s">
        <v>481</v>
      </c>
      <c r="Y116" t="s">
        <v>176</v>
      </c>
      <c r="Z116" t="str">
        <f>IF(COUNTA(A116:Y116)=0,"Blank","")</f>
        <v/>
      </c>
      <c r="AA116" s="4" t="str">
        <f>TEXT(F116,"mmmm")</f>
        <v>July</v>
      </c>
    </row>
    <row r="117" spans="1:27">
      <c r="A117">
        <v>10276</v>
      </c>
      <c r="B117">
        <v>50</v>
      </c>
      <c r="C117">
        <v>100</v>
      </c>
      <c r="D117">
        <v>3</v>
      </c>
      <c r="E117" s="1">
        <v>9631</v>
      </c>
      <c r="F117" s="3">
        <v>38201</v>
      </c>
      <c r="G117" t="s">
        <v>52</v>
      </c>
      <c r="H117">
        <v>3</v>
      </c>
      <c r="I117">
        <v>8</v>
      </c>
      <c r="J117">
        <v>2004</v>
      </c>
      <c r="K117" t="s">
        <v>0</v>
      </c>
      <c r="L117">
        <v>194</v>
      </c>
      <c r="M117" t="s">
        <v>448</v>
      </c>
      <c r="N117" t="s">
        <v>482</v>
      </c>
      <c r="O117">
        <v>6175557555</v>
      </c>
      <c r="P117" t="s">
        <v>483</v>
      </c>
      <c r="R117" t="s">
        <v>307</v>
      </c>
      <c r="S117" t="s">
        <v>148</v>
      </c>
      <c r="T117">
        <v>58339</v>
      </c>
      <c r="U117" t="s">
        <v>1</v>
      </c>
      <c r="V117" t="s">
        <v>58</v>
      </c>
      <c r="W117" t="s">
        <v>484</v>
      </c>
      <c r="X117" t="s">
        <v>485</v>
      </c>
      <c r="Y117" t="s">
        <v>176</v>
      </c>
      <c r="Z117" t="str">
        <f>IF(COUNTA(A117:Y117)=0,"Blank","")</f>
        <v/>
      </c>
      <c r="AA117" s="4" t="str">
        <f>TEXT(F117,"mmmm")</f>
        <v>August</v>
      </c>
    </row>
    <row r="118" spans="1:27">
      <c r="A118">
        <v>10287</v>
      </c>
      <c r="B118">
        <v>21</v>
      </c>
      <c r="C118">
        <v>100</v>
      </c>
      <c r="D118">
        <v>12</v>
      </c>
      <c r="E118" s="1">
        <v>3432.24</v>
      </c>
      <c r="F118" s="3">
        <v>38229</v>
      </c>
      <c r="G118" t="s">
        <v>52</v>
      </c>
      <c r="H118">
        <v>3</v>
      </c>
      <c r="I118">
        <v>8</v>
      </c>
      <c r="J118">
        <v>2004</v>
      </c>
      <c r="K118" t="s">
        <v>0</v>
      </c>
      <c r="L118">
        <v>194</v>
      </c>
      <c r="M118" t="s">
        <v>448</v>
      </c>
      <c r="N118" t="s">
        <v>470</v>
      </c>
      <c r="O118" t="s">
        <v>471</v>
      </c>
      <c r="P118" t="s">
        <v>472</v>
      </c>
      <c r="R118" t="s">
        <v>473</v>
      </c>
      <c r="T118">
        <v>1203</v>
      </c>
      <c r="U118" t="s">
        <v>474</v>
      </c>
      <c r="V118" t="s">
        <v>67</v>
      </c>
      <c r="W118" t="s">
        <v>475</v>
      </c>
      <c r="X118" t="s">
        <v>128</v>
      </c>
      <c r="Y118" t="s">
        <v>76</v>
      </c>
      <c r="Z118" t="str">
        <f>IF(COUNTA(A118:Y118)=0,"Blank","")</f>
        <v/>
      </c>
      <c r="AA118" s="4" t="str">
        <f>TEXT(F118,"mmmm")</f>
        <v>August</v>
      </c>
    </row>
    <row r="119" spans="1:27">
      <c r="A119">
        <v>10300</v>
      </c>
      <c r="B119">
        <v>33</v>
      </c>
      <c r="C119">
        <v>100</v>
      </c>
      <c r="D119">
        <v>5</v>
      </c>
      <c r="E119" s="1">
        <v>5521.89</v>
      </c>
      <c r="F119" s="3">
        <v>37898</v>
      </c>
      <c r="G119" t="s">
        <v>52</v>
      </c>
      <c r="H119">
        <v>4</v>
      </c>
      <c r="I119">
        <v>10</v>
      </c>
      <c r="J119">
        <v>2003</v>
      </c>
      <c r="K119" t="s">
        <v>0</v>
      </c>
      <c r="L119">
        <v>194</v>
      </c>
      <c r="M119" t="s">
        <v>448</v>
      </c>
      <c r="N119" t="s">
        <v>486</v>
      </c>
      <c r="O119" t="s">
        <v>487</v>
      </c>
      <c r="P119" t="s">
        <v>488</v>
      </c>
      <c r="R119" t="s">
        <v>489</v>
      </c>
      <c r="T119">
        <v>60528</v>
      </c>
      <c r="U119" t="s">
        <v>467</v>
      </c>
      <c r="V119" t="s">
        <v>67</v>
      </c>
      <c r="W119" t="s">
        <v>490</v>
      </c>
      <c r="X119" t="s">
        <v>438</v>
      </c>
      <c r="Y119" t="s">
        <v>76</v>
      </c>
      <c r="Z119" t="str">
        <f>IF(COUNTA(A119:Y119)=0,"Blank","")</f>
        <v/>
      </c>
      <c r="AA119" s="4" t="str">
        <f>TEXT(F119,"mmmm")</f>
        <v>October</v>
      </c>
    </row>
    <row r="120" spans="1:27">
      <c r="A120">
        <v>10310</v>
      </c>
      <c r="B120">
        <v>33</v>
      </c>
      <c r="C120">
        <v>100</v>
      </c>
      <c r="D120">
        <v>10</v>
      </c>
      <c r="E120" s="1">
        <v>6934.62</v>
      </c>
      <c r="F120" s="3">
        <v>38276</v>
      </c>
      <c r="G120" t="s">
        <v>52</v>
      </c>
      <c r="H120">
        <v>4</v>
      </c>
      <c r="I120">
        <v>10</v>
      </c>
      <c r="J120">
        <v>2004</v>
      </c>
      <c r="K120" t="s">
        <v>0</v>
      </c>
      <c r="L120">
        <v>194</v>
      </c>
      <c r="M120" t="s">
        <v>448</v>
      </c>
      <c r="N120" t="s">
        <v>463</v>
      </c>
      <c r="O120" t="s">
        <v>464</v>
      </c>
      <c r="P120" t="s">
        <v>465</v>
      </c>
      <c r="R120" t="s">
        <v>466</v>
      </c>
      <c r="T120">
        <v>50739</v>
      </c>
      <c r="U120" t="s">
        <v>467</v>
      </c>
      <c r="V120" t="s">
        <v>67</v>
      </c>
      <c r="W120" t="s">
        <v>468</v>
      </c>
      <c r="X120" t="s">
        <v>469</v>
      </c>
      <c r="Y120" t="s">
        <v>76</v>
      </c>
      <c r="Z120" t="str">
        <f>IF(COUNTA(A120:Y120)=0,"Blank","")</f>
        <v/>
      </c>
      <c r="AA120" s="4" t="str">
        <f>TEXT(F120,"mmmm")</f>
        <v>October</v>
      </c>
    </row>
    <row r="121" spans="1:27">
      <c r="A121">
        <v>10320</v>
      </c>
      <c r="B121">
        <v>31</v>
      </c>
      <c r="C121">
        <v>100</v>
      </c>
      <c r="D121">
        <v>3</v>
      </c>
      <c r="E121" s="1">
        <v>6876.11</v>
      </c>
      <c r="F121" s="3">
        <v>38294</v>
      </c>
      <c r="G121" t="s">
        <v>52</v>
      </c>
      <c r="H121">
        <v>4</v>
      </c>
      <c r="I121">
        <v>11</v>
      </c>
      <c r="J121">
        <v>2004</v>
      </c>
      <c r="K121" t="s">
        <v>0</v>
      </c>
      <c r="L121">
        <v>194</v>
      </c>
      <c r="M121" t="s">
        <v>448</v>
      </c>
      <c r="N121" t="s">
        <v>207</v>
      </c>
      <c r="O121" t="s">
        <v>208</v>
      </c>
      <c r="P121" t="s">
        <v>209</v>
      </c>
      <c r="R121" t="s">
        <v>210</v>
      </c>
      <c r="T121" t="s">
        <v>211</v>
      </c>
      <c r="U121" t="s">
        <v>212</v>
      </c>
      <c r="V121" t="s">
        <v>67</v>
      </c>
      <c r="W121" t="s">
        <v>213</v>
      </c>
      <c r="X121" t="s">
        <v>214</v>
      </c>
      <c r="Y121" t="s">
        <v>76</v>
      </c>
      <c r="Z121" t="str">
        <f>IF(COUNTA(A121:Y121)=0,"Blank","")</f>
        <v/>
      </c>
      <c r="AA121" s="4" t="str">
        <f>TEXT(F121,"mmmm")</f>
        <v>November</v>
      </c>
    </row>
    <row r="122" spans="1:27">
      <c r="A122">
        <v>10363</v>
      </c>
      <c r="B122">
        <v>33</v>
      </c>
      <c r="C122">
        <v>85.39</v>
      </c>
      <c r="D122">
        <v>3</v>
      </c>
      <c r="E122" s="1">
        <v>2817.87</v>
      </c>
      <c r="F122" s="3">
        <v>38358</v>
      </c>
      <c r="G122" t="s">
        <v>52</v>
      </c>
      <c r="H122">
        <v>1</v>
      </c>
      <c r="I122">
        <v>1</v>
      </c>
      <c r="J122">
        <v>2005</v>
      </c>
      <c r="K122" t="s">
        <v>0</v>
      </c>
      <c r="L122">
        <v>194</v>
      </c>
      <c r="M122" t="s">
        <v>448</v>
      </c>
      <c r="N122" t="s">
        <v>491</v>
      </c>
      <c r="O122" t="s">
        <v>492</v>
      </c>
      <c r="P122" t="s">
        <v>493</v>
      </c>
      <c r="R122" t="s">
        <v>494</v>
      </c>
      <c r="T122" t="s">
        <v>495</v>
      </c>
      <c r="U122" t="s">
        <v>155</v>
      </c>
      <c r="V122" t="s">
        <v>67</v>
      </c>
      <c r="W122" t="s">
        <v>496</v>
      </c>
      <c r="X122" t="s">
        <v>497</v>
      </c>
      <c r="Y122" t="s">
        <v>61</v>
      </c>
      <c r="Z122" t="str">
        <f>IF(COUNTA(A122:Y122)=0,"Blank","")</f>
        <v/>
      </c>
      <c r="AA122" s="4" t="str">
        <f>TEXT(F122,"mmmm")</f>
        <v>January</v>
      </c>
    </row>
    <row r="123" spans="1:27">
      <c r="A123">
        <v>10389</v>
      </c>
      <c r="B123">
        <v>26</v>
      </c>
      <c r="C123">
        <v>99.04</v>
      </c>
      <c r="D123">
        <v>4</v>
      </c>
      <c r="E123" s="1">
        <v>2575.04</v>
      </c>
      <c r="F123" s="3">
        <v>38414</v>
      </c>
      <c r="G123" t="s">
        <v>52</v>
      </c>
      <c r="H123">
        <v>1</v>
      </c>
      <c r="I123">
        <v>3</v>
      </c>
      <c r="J123">
        <v>2005</v>
      </c>
      <c r="K123" t="s">
        <v>0</v>
      </c>
      <c r="L123">
        <v>194</v>
      </c>
      <c r="M123" t="s">
        <v>448</v>
      </c>
      <c r="N123" t="s">
        <v>285</v>
      </c>
      <c r="O123" t="s">
        <v>286</v>
      </c>
      <c r="P123" t="s">
        <v>287</v>
      </c>
      <c r="R123" t="s">
        <v>288</v>
      </c>
      <c r="T123" t="s">
        <v>289</v>
      </c>
      <c r="U123" t="s">
        <v>212</v>
      </c>
      <c r="V123" t="s">
        <v>67</v>
      </c>
      <c r="W123" t="s">
        <v>290</v>
      </c>
      <c r="X123" t="s">
        <v>230</v>
      </c>
      <c r="Y123" t="s">
        <v>61</v>
      </c>
      <c r="Z123" t="str">
        <f>IF(COUNTA(A123:Y123)=0,"Blank","")</f>
        <v/>
      </c>
      <c r="AA123" s="4" t="str">
        <f>TEXT(F123,"mmmm")</f>
        <v>March</v>
      </c>
    </row>
    <row r="124" spans="1:27">
      <c r="A124">
        <v>10419</v>
      </c>
      <c r="B124">
        <v>12</v>
      </c>
      <c r="C124">
        <v>100</v>
      </c>
      <c r="D124">
        <v>13</v>
      </c>
      <c r="E124" s="1">
        <v>1961.28</v>
      </c>
      <c r="F124" s="3">
        <v>38489</v>
      </c>
      <c r="G124" t="s">
        <v>52</v>
      </c>
      <c r="H124">
        <v>2</v>
      </c>
      <c r="I124">
        <v>5</v>
      </c>
      <c r="J124">
        <v>2005</v>
      </c>
      <c r="K124" t="s">
        <v>0</v>
      </c>
      <c r="L124">
        <v>194</v>
      </c>
      <c r="M124" t="s">
        <v>448</v>
      </c>
      <c r="N124" t="s">
        <v>169</v>
      </c>
      <c r="O124" t="s">
        <v>170</v>
      </c>
      <c r="P124" t="s">
        <v>171</v>
      </c>
      <c r="R124" t="s">
        <v>172</v>
      </c>
      <c r="T124">
        <v>5020</v>
      </c>
      <c r="U124" t="s">
        <v>173</v>
      </c>
      <c r="V124" t="s">
        <v>67</v>
      </c>
      <c r="W124" t="s">
        <v>174</v>
      </c>
      <c r="X124" t="s">
        <v>175</v>
      </c>
      <c r="Y124" t="s">
        <v>61</v>
      </c>
      <c r="Z124" t="str">
        <f>IF(COUNTA(A124:Y124)=0,"Blank","")</f>
        <v/>
      </c>
      <c r="AA124" s="4" t="str">
        <f>TEXT(F124,"mmmm")</f>
        <v>May</v>
      </c>
    </row>
    <row r="125" spans="1:27">
      <c r="A125">
        <v>10117</v>
      </c>
      <c r="B125">
        <v>33</v>
      </c>
      <c r="C125">
        <v>100</v>
      </c>
      <c r="D125">
        <v>9</v>
      </c>
      <c r="E125" s="1">
        <v>6034.38</v>
      </c>
      <c r="F125" s="3">
        <v>37727</v>
      </c>
      <c r="G125" t="s">
        <v>52</v>
      </c>
      <c r="H125">
        <v>2</v>
      </c>
      <c r="I125">
        <v>4</v>
      </c>
      <c r="J125">
        <v>2003</v>
      </c>
      <c r="K125" t="s">
        <v>0</v>
      </c>
      <c r="L125">
        <v>207</v>
      </c>
      <c r="M125" t="s">
        <v>498</v>
      </c>
      <c r="N125" t="s">
        <v>220</v>
      </c>
      <c r="O125" t="s">
        <v>221</v>
      </c>
      <c r="P125" t="s">
        <v>222</v>
      </c>
      <c r="R125" t="s">
        <v>223</v>
      </c>
      <c r="T125">
        <v>79903</v>
      </c>
      <c r="U125" t="s">
        <v>223</v>
      </c>
      <c r="V125" t="s">
        <v>224</v>
      </c>
      <c r="W125" t="s">
        <v>225</v>
      </c>
      <c r="X125" t="s">
        <v>226</v>
      </c>
      <c r="Y125" t="s">
        <v>76</v>
      </c>
      <c r="Z125" t="str">
        <f>IF(COUNTA(A125:Y125)=0,"Blank","")</f>
        <v/>
      </c>
      <c r="AA125" s="4" t="str">
        <f>TEXT(F125,"mmmm")</f>
        <v>April</v>
      </c>
    </row>
    <row r="126" spans="1:27">
      <c r="A126">
        <v>10127</v>
      </c>
      <c r="B126">
        <v>46</v>
      </c>
      <c r="C126">
        <v>100</v>
      </c>
      <c r="D126">
        <v>2</v>
      </c>
      <c r="E126" s="1">
        <v>11279.2</v>
      </c>
      <c r="F126" s="3">
        <v>37775</v>
      </c>
      <c r="G126" t="s">
        <v>52</v>
      </c>
      <c r="H126">
        <v>2</v>
      </c>
      <c r="I126">
        <v>6</v>
      </c>
      <c r="J126">
        <v>2003</v>
      </c>
      <c r="K126" t="s">
        <v>0</v>
      </c>
      <c r="L126">
        <v>207</v>
      </c>
      <c r="M126" t="s">
        <v>498</v>
      </c>
      <c r="N126" t="s">
        <v>499</v>
      </c>
      <c r="O126">
        <v>2125557413</v>
      </c>
      <c r="P126" t="s">
        <v>500</v>
      </c>
      <c r="Q126" t="s">
        <v>501</v>
      </c>
      <c r="R126" t="s">
        <v>56</v>
      </c>
      <c r="S126" t="s">
        <v>57</v>
      </c>
      <c r="T126">
        <v>10022</v>
      </c>
      <c r="U126" t="s">
        <v>1</v>
      </c>
      <c r="V126" t="s">
        <v>58</v>
      </c>
      <c r="W126" t="s">
        <v>81</v>
      </c>
      <c r="X126" t="s">
        <v>502</v>
      </c>
      <c r="Y126" t="s">
        <v>176</v>
      </c>
      <c r="Z126" t="str">
        <f>IF(COUNTA(A126:Y126)=0,"Blank","")</f>
        <v/>
      </c>
      <c r="AA126" s="4" t="str">
        <f>TEXT(F126,"mmmm")</f>
        <v>June</v>
      </c>
    </row>
    <row r="127" spans="1:27">
      <c r="A127">
        <v>10142</v>
      </c>
      <c r="B127">
        <v>33</v>
      </c>
      <c r="C127">
        <v>100</v>
      </c>
      <c r="D127">
        <v>12</v>
      </c>
      <c r="E127" s="1">
        <v>8023.29</v>
      </c>
      <c r="F127" s="3">
        <v>37841</v>
      </c>
      <c r="G127" t="s">
        <v>52</v>
      </c>
      <c r="H127">
        <v>3</v>
      </c>
      <c r="I127">
        <v>8</v>
      </c>
      <c r="J127">
        <v>2003</v>
      </c>
      <c r="K127" t="s">
        <v>0</v>
      </c>
      <c r="L127">
        <v>207</v>
      </c>
      <c r="M127" t="s">
        <v>498</v>
      </c>
      <c r="N127" t="s">
        <v>296</v>
      </c>
      <c r="O127">
        <v>4155551450</v>
      </c>
      <c r="P127" t="s">
        <v>297</v>
      </c>
      <c r="R127" t="s">
        <v>298</v>
      </c>
      <c r="S127" t="s">
        <v>80</v>
      </c>
      <c r="T127">
        <v>97562</v>
      </c>
      <c r="U127" t="s">
        <v>1</v>
      </c>
      <c r="V127" t="s">
        <v>58</v>
      </c>
      <c r="W127" t="s">
        <v>299</v>
      </c>
      <c r="X127" t="s">
        <v>300</v>
      </c>
      <c r="Y127" t="s">
        <v>176</v>
      </c>
      <c r="Z127" t="str">
        <f>IF(COUNTA(A127:Y127)=0,"Blank","")</f>
        <v/>
      </c>
      <c r="AA127" s="4" t="str">
        <f>TEXT(F127,"mmmm")</f>
        <v>August</v>
      </c>
    </row>
    <row r="128" spans="1:27">
      <c r="A128">
        <v>10153</v>
      </c>
      <c r="B128">
        <v>20</v>
      </c>
      <c r="C128">
        <v>100</v>
      </c>
      <c r="D128">
        <v>11</v>
      </c>
      <c r="E128" s="1">
        <v>4904</v>
      </c>
      <c r="F128" s="3">
        <v>37892</v>
      </c>
      <c r="G128" t="s">
        <v>52</v>
      </c>
      <c r="H128">
        <v>3</v>
      </c>
      <c r="I128">
        <v>9</v>
      </c>
      <c r="J128">
        <v>2003</v>
      </c>
      <c r="K128" t="s">
        <v>0</v>
      </c>
      <c r="L128">
        <v>207</v>
      </c>
      <c r="M128" t="s">
        <v>498</v>
      </c>
      <c r="N128" t="s">
        <v>199</v>
      </c>
      <c r="O128" t="s">
        <v>200</v>
      </c>
      <c r="P128" t="s">
        <v>201</v>
      </c>
      <c r="R128" t="s">
        <v>202</v>
      </c>
      <c r="T128">
        <v>28034</v>
      </c>
      <c r="U128" t="s">
        <v>203</v>
      </c>
      <c r="V128" t="s">
        <v>67</v>
      </c>
      <c r="W128" t="s">
        <v>204</v>
      </c>
      <c r="X128" t="s">
        <v>205</v>
      </c>
      <c r="Y128" t="s">
        <v>76</v>
      </c>
      <c r="Z128" t="str">
        <f>IF(COUNTA(A128:Y128)=0,"Blank","")</f>
        <v/>
      </c>
      <c r="AA128" s="4" t="str">
        <f>TEXT(F128,"mmmm")</f>
        <v>September</v>
      </c>
    </row>
    <row r="129" spans="1:27">
      <c r="A129">
        <v>10165</v>
      </c>
      <c r="B129">
        <v>44</v>
      </c>
      <c r="C129">
        <v>100</v>
      </c>
      <c r="D129">
        <v>3</v>
      </c>
      <c r="E129" s="1">
        <v>8594.52</v>
      </c>
      <c r="F129" s="3">
        <v>37916</v>
      </c>
      <c r="G129" t="s">
        <v>52</v>
      </c>
      <c r="H129">
        <v>4</v>
      </c>
      <c r="I129">
        <v>10</v>
      </c>
      <c r="J129">
        <v>2003</v>
      </c>
      <c r="K129" t="s">
        <v>0</v>
      </c>
      <c r="L129">
        <v>207</v>
      </c>
      <c r="M129" t="s">
        <v>498</v>
      </c>
      <c r="N129" t="s">
        <v>220</v>
      </c>
      <c r="O129" t="s">
        <v>221</v>
      </c>
      <c r="P129" t="s">
        <v>222</v>
      </c>
      <c r="R129" t="s">
        <v>223</v>
      </c>
      <c r="T129">
        <v>79903</v>
      </c>
      <c r="U129" t="s">
        <v>223</v>
      </c>
      <c r="V129" t="s">
        <v>224</v>
      </c>
      <c r="W129" t="s">
        <v>225</v>
      </c>
      <c r="X129" t="s">
        <v>226</v>
      </c>
      <c r="Y129" t="s">
        <v>176</v>
      </c>
      <c r="Z129" t="str">
        <f>IF(COUNTA(A129:Y129)=0,"Blank","")</f>
        <v/>
      </c>
      <c r="AA129" s="4" t="str">
        <f>TEXT(F129,"mmmm")</f>
        <v>October</v>
      </c>
    </row>
    <row r="130" spans="1:27">
      <c r="A130">
        <v>10176</v>
      </c>
      <c r="B130">
        <v>33</v>
      </c>
      <c r="C130">
        <v>100</v>
      </c>
      <c r="D130">
        <v>2</v>
      </c>
      <c r="E130" s="1">
        <v>7474.5</v>
      </c>
      <c r="F130" s="3">
        <v>37931</v>
      </c>
      <c r="G130" t="s">
        <v>52</v>
      </c>
      <c r="H130">
        <v>4</v>
      </c>
      <c r="I130">
        <v>11</v>
      </c>
      <c r="J130">
        <v>2003</v>
      </c>
      <c r="K130" t="s">
        <v>0</v>
      </c>
      <c r="L130">
        <v>207</v>
      </c>
      <c r="M130" t="s">
        <v>498</v>
      </c>
      <c r="N130" t="s">
        <v>476</v>
      </c>
      <c r="O130" t="s">
        <v>477</v>
      </c>
      <c r="P130" t="s">
        <v>478</v>
      </c>
      <c r="R130" t="s">
        <v>479</v>
      </c>
      <c r="T130">
        <v>42100</v>
      </c>
      <c r="U130" t="s">
        <v>282</v>
      </c>
      <c r="V130" t="s">
        <v>67</v>
      </c>
      <c r="W130" t="s">
        <v>480</v>
      </c>
      <c r="X130" t="s">
        <v>481</v>
      </c>
      <c r="Y130" t="s">
        <v>176</v>
      </c>
      <c r="Z130" t="str">
        <f>IF(COUNTA(A130:Y130)=0,"Blank","")</f>
        <v/>
      </c>
      <c r="AA130" s="4" t="str">
        <f>TEXT(F130,"mmmm")</f>
        <v>November</v>
      </c>
    </row>
    <row r="131" spans="1:27">
      <c r="A131">
        <v>10185</v>
      </c>
      <c r="B131">
        <v>21</v>
      </c>
      <c r="C131">
        <v>100</v>
      </c>
      <c r="D131">
        <v>13</v>
      </c>
      <c r="E131" s="1">
        <v>3883.74</v>
      </c>
      <c r="F131" s="3">
        <v>37939</v>
      </c>
      <c r="G131" t="s">
        <v>52</v>
      </c>
      <c r="H131">
        <v>4</v>
      </c>
      <c r="I131">
        <v>11</v>
      </c>
      <c r="J131">
        <v>2003</v>
      </c>
      <c r="K131" t="s">
        <v>0</v>
      </c>
      <c r="L131">
        <v>207</v>
      </c>
      <c r="M131" t="s">
        <v>498</v>
      </c>
      <c r="N131" t="s">
        <v>359</v>
      </c>
      <c r="O131">
        <v>5085559555</v>
      </c>
      <c r="P131" t="s">
        <v>360</v>
      </c>
      <c r="R131" t="s">
        <v>187</v>
      </c>
      <c r="S131" t="s">
        <v>148</v>
      </c>
      <c r="T131">
        <v>50553</v>
      </c>
      <c r="U131" t="s">
        <v>1</v>
      </c>
      <c r="V131" t="s">
        <v>58</v>
      </c>
      <c r="W131" t="s">
        <v>361</v>
      </c>
      <c r="X131" t="s">
        <v>362</v>
      </c>
      <c r="Y131" t="s">
        <v>76</v>
      </c>
      <c r="Z131" t="str">
        <f>IF(COUNTA(A131:Y131)=0,"Blank","")</f>
        <v/>
      </c>
      <c r="AA131" s="4" t="str">
        <f>TEXT(F131,"mmmm")</f>
        <v>November</v>
      </c>
    </row>
    <row r="132" spans="1:27">
      <c r="A132">
        <v>10196</v>
      </c>
      <c r="B132">
        <v>47</v>
      </c>
      <c r="C132">
        <v>100</v>
      </c>
      <c r="D132">
        <v>5</v>
      </c>
      <c r="E132" s="1">
        <v>8887.7000000000007</v>
      </c>
      <c r="F132" s="3">
        <v>37951</v>
      </c>
      <c r="G132" t="s">
        <v>52</v>
      </c>
      <c r="H132">
        <v>4</v>
      </c>
      <c r="I132">
        <v>11</v>
      </c>
      <c r="J132">
        <v>2003</v>
      </c>
      <c r="K132" t="s">
        <v>0</v>
      </c>
      <c r="L132">
        <v>207</v>
      </c>
      <c r="M132" t="s">
        <v>498</v>
      </c>
      <c r="N132" t="s">
        <v>266</v>
      </c>
      <c r="O132">
        <v>2035559545</v>
      </c>
      <c r="P132" t="s">
        <v>267</v>
      </c>
      <c r="R132" t="s">
        <v>268</v>
      </c>
      <c r="S132" t="s">
        <v>137</v>
      </c>
      <c r="T132">
        <v>97823</v>
      </c>
      <c r="U132" t="s">
        <v>1</v>
      </c>
      <c r="V132" t="s">
        <v>58</v>
      </c>
      <c r="W132" t="s">
        <v>108</v>
      </c>
      <c r="X132" t="s">
        <v>269</v>
      </c>
      <c r="Y132" t="s">
        <v>176</v>
      </c>
      <c r="Z132" t="str">
        <f>IF(COUNTA(A132:Y132)=0,"Blank","")</f>
        <v/>
      </c>
      <c r="AA132" s="4" t="str">
        <f>TEXT(F132,"mmmm")</f>
        <v>November</v>
      </c>
    </row>
    <row r="133" spans="1:27">
      <c r="A133">
        <v>10208</v>
      </c>
      <c r="B133">
        <v>46</v>
      </c>
      <c r="C133">
        <v>100</v>
      </c>
      <c r="D133">
        <v>13</v>
      </c>
      <c r="E133" s="1">
        <v>8602.92</v>
      </c>
      <c r="F133" s="3">
        <v>37988</v>
      </c>
      <c r="G133" t="s">
        <v>52</v>
      </c>
      <c r="H133">
        <v>1</v>
      </c>
      <c r="I133">
        <v>1</v>
      </c>
      <c r="J133">
        <v>2004</v>
      </c>
      <c r="K133" t="s">
        <v>0</v>
      </c>
      <c r="L133">
        <v>207</v>
      </c>
      <c r="M133" t="s">
        <v>498</v>
      </c>
      <c r="N133" t="s">
        <v>243</v>
      </c>
      <c r="O133" t="s">
        <v>244</v>
      </c>
      <c r="P133" t="s">
        <v>245</v>
      </c>
      <c r="R133" t="s">
        <v>246</v>
      </c>
      <c r="T133">
        <v>69004</v>
      </c>
      <c r="U133" t="s">
        <v>66</v>
      </c>
      <c r="V133" t="s">
        <v>67</v>
      </c>
      <c r="W133" t="s">
        <v>247</v>
      </c>
      <c r="X133" t="s">
        <v>248</v>
      </c>
      <c r="Y133" t="s">
        <v>176</v>
      </c>
      <c r="Z133" t="str">
        <f>IF(COUNTA(A133:Y133)=0,"Blank","")</f>
        <v/>
      </c>
      <c r="AA133" s="4" t="str">
        <f>TEXT(F133,"mmmm")</f>
        <v>January</v>
      </c>
    </row>
    <row r="134" spans="1:27">
      <c r="A134">
        <v>10220</v>
      </c>
      <c r="B134">
        <v>32</v>
      </c>
      <c r="C134">
        <v>100</v>
      </c>
      <c r="D134">
        <v>2</v>
      </c>
      <c r="E134" s="1">
        <v>7181.44</v>
      </c>
      <c r="F134" s="3">
        <v>38029</v>
      </c>
      <c r="G134" t="s">
        <v>52</v>
      </c>
      <c r="H134">
        <v>1</v>
      </c>
      <c r="I134">
        <v>2</v>
      </c>
      <c r="J134">
        <v>2004</v>
      </c>
      <c r="K134" t="s">
        <v>0</v>
      </c>
      <c r="L134">
        <v>207</v>
      </c>
      <c r="M134" t="s">
        <v>498</v>
      </c>
      <c r="N134" t="s">
        <v>503</v>
      </c>
      <c r="O134" t="s">
        <v>504</v>
      </c>
      <c r="P134" t="s">
        <v>505</v>
      </c>
      <c r="Q134" t="s">
        <v>506</v>
      </c>
      <c r="R134" t="s">
        <v>507</v>
      </c>
      <c r="T134">
        <v>2</v>
      </c>
      <c r="U134" t="s">
        <v>508</v>
      </c>
      <c r="V134" t="s">
        <v>67</v>
      </c>
      <c r="W134" t="s">
        <v>509</v>
      </c>
      <c r="X134" t="s">
        <v>510</v>
      </c>
      <c r="Y134" t="s">
        <v>176</v>
      </c>
      <c r="Z134" t="str">
        <f>IF(COUNTA(A134:Y134)=0,"Blank","")</f>
        <v/>
      </c>
      <c r="AA134" s="4" t="str">
        <f>TEXT(F134,"mmmm")</f>
        <v>February</v>
      </c>
    </row>
    <row r="135" spans="1:27">
      <c r="A135">
        <v>10231</v>
      </c>
      <c r="B135">
        <v>42</v>
      </c>
      <c r="C135">
        <v>100</v>
      </c>
      <c r="D135">
        <v>2</v>
      </c>
      <c r="E135" s="1">
        <v>8378.58</v>
      </c>
      <c r="F135" s="3">
        <v>38065</v>
      </c>
      <c r="G135" t="s">
        <v>52</v>
      </c>
      <c r="H135">
        <v>1</v>
      </c>
      <c r="I135">
        <v>3</v>
      </c>
      <c r="J135">
        <v>2004</v>
      </c>
      <c r="K135" t="s">
        <v>0</v>
      </c>
      <c r="L135">
        <v>207</v>
      </c>
      <c r="M135" t="s">
        <v>498</v>
      </c>
      <c r="N135" t="s">
        <v>511</v>
      </c>
      <c r="O135" t="s">
        <v>512</v>
      </c>
      <c r="P135" t="s">
        <v>513</v>
      </c>
      <c r="R135" t="s">
        <v>202</v>
      </c>
      <c r="T135">
        <v>28023</v>
      </c>
      <c r="U135" t="s">
        <v>203</v>
      </c>
      <c r="V135" t="s">
        <v>67</v>
      </c>
      <c r="W135" t="s">
        <v>514</v>
      </c>
      <c r="X135" t="s">
        <v>515</v>
      </c>
      <c r="Y135" t="s">
        <v>176</v>
      </c>
      <c r="Z135" t="str">
        <f>IF(COUNTA(A135:Y135)=0,"Blank","")</f>
        <v/>
      </c>
      <c r="AA135" s="4" t="str">
        <f>TEXT(F135,"mmmm")</f>
        <v>March</v>
      </c>
    </row>
    <row r="136" spans="1:27">
      <c r="A136">
        <v>10247</v>
      </c>
      <c r="B136">
        <v>44</v>
      </c>
      <c r="C136">
        <v>100</v>
      </c>
      <c r="D136">
        <v>2</v>
      </c>
      <c r="E136" s="1">
        <v>10606.2</v>
      </c>
      <c r="F136" s="3">
        <v>38112</v>
      </c>
      <c r="G136" t="s">
        <v>52</v>
      </c>
      <c r="H136">
        <v>2</v>
      </c>
      <c r="I136">
        <v>5</v>
      </c>
      <c r="J136">
        <v>2004</v>
      </c>
      <c r="K136" t="s">
        <v>0</v>
      </c>
      <c r="L136">
        <v>207</v>
      </c>
      <c r="M136" t="s">
        <v>498</v>
      </c>
      <c r="N136" t="s">
        <v>491</v>
      </c>
      <c r="O136" t="s">
        <v>492</v>
      </c>
      <c r="P136" t="s">
        <v>493</v>
      </c>
      <c r="R136" t="s">
        <v>494</v>
      </c>
      <c r="T136" t="s">
        <v>495</v>
      </c>
      <c r="U136" t="s">
        <v>155</v>
      </c>
      <c r="V136" t="s">
        <v>67</v>
      </c>
      <c r="W136" t="s">
        <v>496</v>
      </c>
      <c r="X136" t="s">
        <v>497</v>
      </c>
      <c r="Y136" t="s">
        <v>176</v>
      </c>
      <c r="Z136" t="str">
        <f>IF(COUNTA(A136:Y136)=0,"Blank","")</f>
        <v/>
      </c>
      <c r="AA136" s="4" t="str">
        <f>TEXT(F136,"mmmm")</f>
        <v>May</v>
      </c>
    </row>
    <row r="137" spans="1:27">
      <c r="A137">
        <v>10272</v>
      </c>
      <c r="B137">
        <v>35</v>
      </c>
      <c r="C137">
        <v>100</v>
      </c>
      <c r="D137">
        <v>2</v>
      </c>
      <c r="E137" s="1">
        <v>5818.4</v>
      </c>
      <c r="F137" s="3">
        <v>38188</v>
      </c>
      <c r="G137" t="s">
        <v>52</v>
      </c>
      <c r="H137">
        <v>3</v>
      </c>
      <c r="I137">
        <v>7</v>
      </c>
      <c r="J137">
        <v>2004</v>
      </c>
      <c r="K137" t="s">
        <v>0</v>
      </c>
      <c r="L137">
        <v>207</v>
      </c>
      <c r="M137" t="s">
        <v>498</v>
      </c>
      <c r="N137" t="s">
        <v>164</v>
      </c>
      <c r="O137">
        <v>2155551555</v>
      </c>
      <c r="P137" t="s">
        <v>165</v>
      </c>
      <c r="R137" t="s">
        <v>166</v>
      </c>
      <c r="S137" t="s">
        <v>167</v>
      </c>
      <c r="T137">
        <v>70267</v>
      </c>
      <c r="U137" t="s">
        <v>1</v>
      </c>
      <c r="V137" t="s">
        <v>58</v>
      </c>
      <c r="W137" t="s">
        <v>59</v>
      </c>
      <c r="X137" t="s">
        <v>168</v>
      </c>
      <c r="Y137" t="s">
        <v>76</v>
      </c>
      <c r="Z137" t="str">
        <f>IF(COUNTA(A137:Y137)=0,"Blank","")</f>
        <v/>
      </c>
      <c r="AA137" s="4" t="str">
        <f>TEXT(F137,"mmmm")</f>
        <v>July</v>
      </c>
    </row>
    <row r="138" spans="1:27">
      <c r="A138">
        <v>10282</v>
      </c>
      <c r="B138">
        <v>41</v>
      </c>
      <c r="C138">
        <v>100</v>
      </c>
      <c r="D138">
        <v>5</v>
      </c>
      <c r="E138" s="1">
        <v>7071.27</v>
      </c>
      <c r="F138" s="3">
        <v>38219</v>
      </c>
      <c r="G138" t="s">
        <v>52</v>
      </c>
      <c r="H138">
        <v>3</v>
      </c>
      <c r="I138">
        <v>8</v>
      </c>
      <c r="J138">
        <v>2004</v>
      </c>
      <c r="K138" t="s">
        <v>0</v>
      </c>
      <c r="L138">
        <v>207</v>
      </c>
      <c r="M138" t="s">
        <v>498</v>
      </c>
      <c r="N138" t="s">
        <v>296</v>
      </c>
      <c r="O138">
        <v>4155551450</v>
      </c>
      <c r="P138" t="s">
        <v>297</v>
      </c>
      <c r="R138" t="s">
        <v>298</v>
      </c>
      <c r="S138" t="s">
        <v>80</v>
      </c>
      <c r="T138">
        <v>97562</v>
      </c>
      <c r="U138" t="s">
        <v>1</v>
      </c>
      <c r="V138" t="s">
        <v>58</v>
      </c>
      <c r="W138" t="s">
        <v>299</v>
      </c>
      <c r="X138" t="s">
        <v>300</v>
      </c>
      <c r="Y138" t="s">
        <v>176</v>
      </c>
      <c r="Z138" t="str">
        <f>IF(COUNTA(A138:Y138)=0,"Blank","")</f>
        <v/>
      </c>
      <c r="AA138" s="4" t="str">
        <f>TEXT(F138,"mmmm")</f>
        <v>August</v>
      </c>
    </row>
    <row r="139" spans="1:27">
      <c r="A139">
        <v>10293</v>
      </c>
      <c r="B139">
        <v>46</v>
      </c>
      <c r="C139">
        <v>100</v>
      </c>
      <c r="D139">
        <v>8</v>
      </c>
      <c r="E139" s="1">
        <v>8411.56</v>
      </c>
      <c r="F139" s="3">
        <v>38239</v>
      </c>
      <c r="G139" t="s">
        <v>52</v>
      </c>
      <c r="H139">
        <v>3</v>
      </c>
      <c r="I139">
        <v>9</v>
      </c>
      <c r="J139">
        <v>2004</v>
      </c>
      <c r="K139" t="s">
        <v>0</v>
      </c>
      <c r="L139">
        <v>207</v>
      </c>
      <c r="M139" t="s">
        <v>498</v>
      </c>
      <c r="N139" t="s">
        <v>278</v>
      </c>
      <c r="O139" t="s">
        <v>279</v>
      </c>
      <c r="P139" t="s">
        <v>280</v>
      </c>
      <c r="R139" t="s">
        <v>281</v>
      </c>
      <c r="T139">
        <v>10100</v>
      </c>
      <c r="U139" t="s">
        <v>282</v>
      </c>
      <c r="V139" t="s">
        <v>67</v>
      </c>
      <c r="W139" t="s">
        <v>283</v>
      </c>
      <c r="X139" t="s">
        <v>284</v>
      </c>
      <c r="Y139" t="s">
        <v>176</v>
      </c>
      <c r="Z139" t="str">
        <f>IF(COUNTA(A139:Y139)=0,"Blank","")</f>
        <v/>
      </c>
      <c r="AA139" s="4" t="str">
        <f>TEXT(F139,"mmmm")</f>
        <v>September</v>
      </c>
    </row>
    <row r="140" spans="1:27">
      <c r="A140">
        <v>10306</v>
      </c>
      <c r="B140">
        <v>31</v>
      </c>
      <c r="C140">
        <v>100</v>
      </c>
      <c r="D140">
        <v>13</v>
      </c>
      <c r="E140" s="1">
        <v>6570.76</v>
      </c>
      <c r="F140" s="3">
        <v>38274</v>
      </c>
      <c r="G140" t="s">
        <v>52</v>
      </c>
      <c r="H140">
        <v>4</v>
      </c>
      <c r="I140">
        <v>10</v>
      </c>
      <c r="J140">
        <v>2004</v>
      </c>
      <c r="K140" t="s">
        <v>0</v>
      </c>
      <c r="L140">
        <v>207</v>
      </c>
      <c r="M140" t="s">
        <v>498</v>
      </c>
      <c r="N140" t="s">
        <v>516</v>
      </c>
      <c r="O140" t="s">
        <v>517</v>
      </c>
      <c r="P140" t="s">
        <v>518</v>
      </c>
      <c r="R140" t="s">
        <v>519</v>
      </c>
      <c r="T140" t="s">
        <v>520</v>
      </c>
      <c r="U140" t="s">
        <v>195</v>
      </c>
      <c r="V140" t="s">
        <v>67</v>
      </c>
      <c r="W140" t="s">
        <v>521</v>
      </c>
      <c r="X140" t="s">
        <v>119</v>
      </c>
      <c r="Y140" t="s">
        <v>76</v>
      </c>
      <c r="Z140" t="str">
        <f>IF(COUNTA(A140:Y140)=0,"Blank","")</f>
        <v/>
      </c>
      <c r="AA140" s="4" t="str">
        <f>TEXT(F140,"mmmm")</f>
        <v>October</v>
      </c>
    </row>
    <row r="141" spans="1:27">
      <c r="A141">
        <v>10314</v>
      </c>
      <c r="B141">
        <v>38</v>
      </c>
      <c r="C141">
        <v>100</v>
      </c>
      <c r="D141">
        <v>5</v>
      </c>
      <c r="E141" s="1">
        <v>7975.44</v>
      </c>
      <c r="F141" s="3">
        <v>38282</v>
      </c>
      <c r="G141" t="s">
        <v>52</v>
      </c>
      <c r="H141">
        <v>4</v>
      </c>
      <c r="I141">
        <v>10</v>
      </c>
      <c r="J141">
        <v>2004</v>
      </c>
      <c r="K141" t="s">
        <v>0</v>
      </c>
      <c r="L141">
        <v>207</v>
      </c>
      <c r="M141" t="s">
        <v>498</v>
      </c>
      <c r="N141" t="s">
        <v>522</v>
      </c>
      <c r="O141" t="s">
        <v>523</v>
      </c>
      <c r="P141" t="s">
        <v>524</v>
      </c>
      <c r="R141" t="s">
        <v>525</v>
      </c>
      <c r="T141">
        <v>8200</v>
      </c>
      <c r="U141" t="s">
        <v>350</v>
      </c>
      <c r="V141" t="s">
        <v>67</v>
      </c>
      <c r="W141" t="s">
        <v>526</v>
      </c>
      <c r="X141" t="s">
        <v>527</v>
      </c>
      <c r="Y141" t="s">
        <v>176</v>
      </c>
      <c r="Z141" t="str">
        <f>IF(COUNTA(A141:Y141)=0,"Blank","")</f>
        <v/>
      </c>
      <c r="AA141" s="4" t="str">
        <f>TEXT(F141,"mmmm")</f>
        <v>October</v>
      </c>
    </row>
    <row r="142" spans="1:27">
      <c r="A142">
        <v>10336</v>
      </c>
      <c r="B142">
        <v>33</v>
      </c>
      <c r="C142">
        <v>57.22</v>
      </c>
      <c r="D142">
        <v>10</v>
      </c>
      <c r="E142" s="1">
        <v>1888.26</v>
      </c>
      <c r="F142" s="3">
        <v>38311</v>
      </c>
      <c r="G142" t="s">
        <v>52</v>
      </c>
      <c r="H142">
        <v>4</v>
      </c>
      <c r="I142">
        <v>11</v>
      </c>
      <c r="J142">
        <v>2004</v>
      </c>
      <c r="K142" t="s">
        <v>0</v>
      </c>
      <c r="L142">
        <v>207</v>
      </c>
      <c r="M142" t="s">
        <v>498</v>
      </c>
      <c r="N142" t="s">
        <v>427</v>
      </c>
      <c r="O142" t="s">
        <v>428</v>
      </c>
      <c r="P142" t="s">
        <v>429</v>
      </c>
      <c r="R142" t="s">
        <v>73</v>
      </c>
      <c r="T142">
        <v>75012</v>
      </c>
      <c r="U142" t="s">
        <v>66</v>
      </c>
      <c r="V142" t="s">
        <v>67</v>
      </c>
      <c r="W142" t="s">
        <v>430</v>
      </c>
      <c r="X142" t="s">
        <v>431</v>
      </c>
      <c r="Y142" t="s">
        <v>61</v>
      </c>
      <c r="Z142" t="str">
        <f>IF(COUNTA(A142:Y142)=0,"Blank","")</f>
        <v/>
      </c>
      <c r="AA142" s="4" t="str">
        <f>TEXT(F142,"mmmm")</f>
        <v>November</v>
      </c>
    </row>
    <row r="143" spans="1:27">
      <c r="A143">
        <v>10348</v>
      </c>
      <c r="B143">
        <v>48</v>
      </c>
      <c r="C143">
        <v>52.36</v>
      </c>
      <c r="D143">
        <v>8</v>
      </c>
      <c r="E143" s="1">
        <v>2513.2800000000002</v>
      </c>
      <c r="F143" s="3">
        <v>38292</v>
      </c>
      <c r="G143" t="s">
        <v>52</v>
      </c>
      <c r="H143">
        <v>4</v>
      </c>
      <c r="I143">
        <v>11</v>
      </c>
      <c r="J143">
        <v>2004</v>
      </c>
      <c r="K143" t="s">
        <v>0</v>
      </c>
      <c r="L143">
        <v>207</v>
      </c>
      <c r="M143" t="s">
        <v>498</v>
      </c>
      <c r="N143" t="s">
        <v>215</v>
      </c>
      <c r="O143" t="s">
        <v>216</v>
      </c>
      <c r="P143" t="s">
        <v>217</v>
      </c>
      <c r="R143" t="s">
        <v>202</v>
      </c>
      <c r="T143">
        <v>28023</v>
      </c>
      <c r="U143" t="s">
        <v>203</v>
      </c>
      <c r="V143" t="s">
        <v>67</v>
      </c>
      <c r="W143" t="s">
        <v>218</v>
      </c>
      <c r="X143" t="s">
        <v>219</v>
      </c>
      <c r="Y143" t="s">
        <v>61</v>
      </c>
      <c r="Z143" t="str">
        <f>IF(COUNTA(A143:Y143)=0,"Blank","")</f>
        <v/>
      </c>
      <c r="AA143" s="4" t="str">
        <f>TEXT(F143,"mmmm")</f>
        <v>November</v>
      </c>
    </row>
    <row r="144" spans="1:27">
      <c r="A144">
        <v>10371</v>
      </c>
      <c r="B144">
        <v>32</v>
      </c>
      <c r="C144">
        <v>100</v>
      </c>
      <c r="D144">
        <v>6</v>
      </c>
      <c r="E144" s="1">
        <v>3560.64</v>
      </c>
      <c r="F144" s="3">
        <v>38375</v>
      </c>
      <c r="G144" t="s">
        <v>52</v>
      </c>
      <c r="H144">
        <v>1</v>
      </c>
      <c r="I144">
        <v>1</v>
      </c>
      <c r="J144">
        <v>2005</v>
      </c>
      <c r="K144" t="s">
        <v>0</v>
      </c>
      <c r="L144">
        <v>207</v>
      </c>
      <c r="M144" t="s">
        <v>498</v>
      </c>
      <c r="N144" t="s">
        <v>296</v>
      </c>
      <c r="O144">
        <v>4155551450</v>
      </c>
      <c r="P144" t="s">
        <v>297</v>
      </c>
      <c r="R144" t="s">
        <v>298</v>
      </c>
      <c r="S144" t="s">
        <v>80</v>
      </c>
      <c r="T144">
        <v>97562</v>
      </c>
      <c r="U144" t="s">
        <v>1</v>
      </c>
      <c r="V144" t="s">
        <v>58</v>
      </c>
      <c r="W144" t="s">
        <v>299</v>
      </c>
      <c r="X144" t="s">
        <v>300</v>
      </c>
      <c r="Y144" t="s">
        <v>76</v>
      </c>
      <c r="Z144" t="str">
        <f>IF(COUNTA(A144:Y144)=0,"Blank","")</f>
        <v/>
      </c>
      <c r="AA144" s="4" t="str">
        <f>TEXT(F144,"mmmm")</f>
        <v>January</v>
      </c>
    </row>
    <row r="145" spans="1:27">
      <c r="A145">
        <v>10382</v>
      </c>
      <c r="B145">
        <v>34</v>
      </c>
      <c r="C145">
        <v>100</v>
      </c>
      <c r="D145">
        <v>10</v>
      </c>
      <c r="E145" s="1">
        <v>3823.64</v>
      </c>
      <c r="F145" s="3">
        <v>38400</v>
      </c>
      <c r="G145" t="s">
        <v>52</v>
      </c>
      <c r="H145">
        <v>1</v>
      </c>
      <c r="I145">
        <v>2</v>
      </c>
      <c r="J145">
        <v>2005</v>
      </c>
      <c r="K145" t="s">
        <v>0</v>
      </c>
      <c r="L145">
        <v>207</v>
      </c>
      <c r="M145" t="s">
        <v>498</v>
      </c>
      <c r="N145" t="s">
        <v>296</v>
      </c>
      <c r="O145">
        <v>4155551450</v>
      </c>
      <c r="P145" t="s">
        <v>297</v>
      </c>
      <c r="R145" t="s">
        <v>298</v>
      </c>
      <c r="S145" t="s">
        <v>80</v>
      </c>
      <c r="T145">
        <v>97562</v>
      </c>
      <c r="U145" t="s">
        <v>1</v>
      </c>
      <c r="V145" t="s">
        <v>58</v>
      </c>
      <c r="W145" t="s">
        <v>299</v>
      </c>
      <c r="X145" t="s">
        <v>300</v>
      </c>
      <c r="Y145" t="s">
        <v>76</v>
      </c>
      <c r="Z145" t="str">
        <f>IF(COUNTA(A145:Y145)=0,"Blank","")</f>
        <v/>
      </c>
      <c r="AA145" s="4" t="str">
        <f>TEXT(F145,"mmmm")</f>
        <v>February</v>
      </c>
    </row>
    <row r="146" spans="1:27">
      <c r="A146">
        <v>10413</v>
      </c>
      <c r="B146">
        <v>36</v>
      </c>
      <c r="C146">
        <v>100</v>
      </c>
      <c r="D146">
        <v>2</v>
      </c>
      <c r="E146" s="1">
        <v>8677.7999999999993</v>
      </c>
      <c r="F146" s="3">
        <v>38477</v>
      </c>
      <c r="G146" t="s">
        <v>52</v>
      </c>
      <c r="H146">
        <v>2</v>
      </c>
      <c r="I146">
        <v>5</v>
      </c>
      <c r="J146">
        <v>2005</v>
      </c>
      <c r="K146" t="s">
        <v>0</v>
      </c>
      <c r="L146">
        <v>207</v>
      </c>
      <c r="M146" t="s">
        <v>498</v>
      </c>
      <c r="N146" t="s">
        <v>134</v>
      </c>
      <c r="O146">
        <v>2035552570</v>
      </c>
      <c r="P146" t="s">
        <v>135</v>
      </c>
      <c r="R146" t="s">
        <v>136</v>
      </c>
      <c r="S146" t="s">
        <v>137</v>
      </c>
      <c r="T146">
        <v>97562</v>
      </c>
      <c r="U146" t="s">
        <v>1</v>
      </c>
      <c r="V146" t="s">
        <v>58</v>
      </c>
      <c r="W146" t="s">
        <v>138</v>
      </c>
      <c r="X146" t="s">
        <v>82</v>
      </c>
      <c r="Y146" t="s">
        <v>176</v>
      </c>
      <c r="Z146" t="str">
        <f>IF(COUNTA(A146:Y146)=0,"Blank","")</f>
        <v/>
      </c>
      <c r="AA146" s="4" t="str">
        <f>TEXT(F146,"mmmm")</f>
        <v>May</v>
      </c>
    </row>
    <row r="147" spans="1:27">
      <c r="A147">
        <v>10113</v>
      </c>
      <c r="B147">
        <v>21</v>
      </c>
      <c r="C147">
        <v>100</v>
      </c>
      <c r="D147">
        <v>2</v>
      </c>
      <c r="E147" s="1">
        <v>3415.44</v>
      </c>
      <c r="F147" s="3">
        <v>37706</v>
      </c>
      <c r="G147" t="s">
        <v>52</v>
      </c>
      <c r="H147">
        <v>1</v>
      </c>
      <c r="I147">
        <v>3</v>
      </c>
      <c r="J147">
        <v>2003</v>
      </c>
      <c r="K147" t="s">
        <v>11</v>
      </c>
      <c r="L147">
        <v>136</v>
      </c>
      <c r="M147" t="s">
        <v>528</v>
      </c>
      <c r="N147" t="s">
        <v>296</v>
      </c>
      <c r="O147">
        <v>4155551450</v>
      </c>
      <c r="P147" t="s">
        <v>297</v>
      </c>
      <c r="R147" t="s">
        <v>298</v>
      </c>
      <c r="S147" t="s">
        <v>80</v>
      </c>
      <c r="T147">
        <v>97562</v>
      </c>
      <c r="U147" t="s">
        <v>1</v>
      </c>
      <c r="V147" t="s">
        <v>58</v>
      </c>
      <c r="W147" t="s">
        <v>299</v>
      </c>
      <c r="X147" t="s">
        <v>300</v>
      </c>
      <c r="Y147" t="s">
        <v>76</v>
      </c>
      <c r="Z147" t="str">
        <f>IF(COUNTA(A147:Y147)=0,"Blank","")</f>
        <v/>
      </c>
      <c r="AA147" s="4" t="str">
        <f>TEXT(F147,"mmmm")</f>
        <v>March</v>
      </c>
    </row>
    <row r="148" spans="1:27">
      <c r="A148">
        <v>10216</v>
      </c>
      <c r="B148">
        <v>43</v>
      </c>
      <c r="C148">
        <v>100</v>
      </c>
      <c r="D148">
        <v>1</v>
      </c>
      <c r="E148" s="1">
        <v>5759.42</v>
      </c>
      <c r="F148" s="3">
        <v>38019</v>
      </c>
      <c r="G148" t="s">
        <v>52</v>
      </c>
      <c r="H148">
        <v>1</v>
      </c>
      <c r="I148">
        <v>2</v>
      </c>
      <c r="J148">
        <v>2004</v>
      </c>
      <c r="K148" t="s">
        <v>11</v>
      </c>
      <c r="L148">
        <v>136</v>
      </c>
      <c r="M148" t="s">
        <v>528</v>
      </c>
      <c r="N148" t="s">
        <v>291</v>
      </c>
      <c r="O148" t="s">
        <v>292</v>
      </c>
      <c r="P148" t="s">
        <v>293</v>
      </c>
      <c r="R148" t="s">
        <v>294</v>
      </c>
      <c r="T148">
        <v>78000</v>
      </c>
      <c r="U148" t="s">
        <v>66</v>
      </c>
      <c r="V148" t="s">
        <v>67</v>
      </c>
      <c r="W148" t="s">
        <v>295</v>
      </c>
      <c r="X148" t="s">
        <v>75</v>
      </c>
      <c r="Y148" t="s">
        <v>76</v>
      </c>
      <c r="Z148" t="str">
        <f>IF(COUNTA(A148:Y148)=0,"Blank","")</f>
        <v/>
      </c>
      <c r="AA148" s="4" t="str">
        <f>TEXT(F148,"mmmm")</f>
        <v>February</v>
      </c>
    </row>
    <row r="149" spans="1:27">
      <c r="A149">
        <v>10189</v>
      </c>
      <c r="B149">
        <v>28</v>
      </c>
      <c r="C149">
        <v>100</v>
      </c>
      <c r="D149">
        <v>1</v>
      </c>
      <c r="E149" s="1">
        <v>4512.4799999999996</v>
      </c>
      <c r="F149" s="3">
        <v>37943</v>
      </c>
      <c r="G149" t="s">
        <v>52</v>
      </c>
      <c r="H149">
        <v>4</v>
      </c>
      <c r="I149">
        <v>11</v>
      </c>
      <c r="J149">
        <v>2003</v>
      </c>
      <c r="K149" t="s">
        <v>7</v>
      </c>
      <c r="L149">
        <v>150</v>
      </c>
      <c r="M149" t="s">
        <v>529</v>
      </c>
      <c r="N149" t="s">
        <v>77</v>
      </c>
      <c r="O149">
        <v>6265557265</v>
      </c>
      <c r="P149" t="s">
        <v>78</v>
      </c>
      <c r="R149" t="s">
        <v>79</v>
      </c>
      <c r="S149" t="s">
        <v>80</v>
      </c>
      <c r="T149">
        <v>90003</v>
      </c>
      <c r="U149" t="s">
        <v>1</v>
      </c>
      <c r="V149" t="s">
        <v>58</v>
      </c>
      <c r="W149" t="s">
        <v>81</v>
      </c>
      <c r="X149" t="s">
        <v>82</v>
      </c>
      <c r="Y149" t="s">
        <v>76</v>
      </c>
      <c r="Z149" t="str">
        <f>IF(COUNTA(A149:Y149)=0,"Blank","")</f>
        <v/>
      </c>
      <c r="AA149" s="4" t="str">
        <f>TEXT(F149,"mmmm")</f>
        <v>November</v>
      </c>
    </row>
    <row r="150" spans="1:27">
      <c r="A150">
        <v>10224</v>
      </c>
      <c r="B150">
        <v>43</v>
      </c>
      <c r="C150">
        <v>100</v>
      </c>
      <c r="D150">
        <v>6</v>
      </c>
      <c r="E150" s="1">
        <v>6087.94</v>
      </c>
      <c r="F150" s="3">
        <v>38038</v>
      </c>
      <c r="G150" t="s">
        <v>52</v>
      </c>
      <c r="H150">
        <v>1</v>
      </c>
      <c r="I150">
        <v>2</v>
      </c>
      <c r="J150">
        <v>2004</v>
      </c>
      <c r="K150" t="s">
        <v>7</v>
      </c>
      <c r="L150">
        <v>150</v>
      </c>
      <c r="M150" t="s">
        <v>529</v>
      </c>
      <c r="N150" t="s">
        <v>92</v>
      </c>
      <c r="O150" t="s">
        <v>93</v>
      </c>
      <c r="P150" t="s">
        <v>94</v>
      </c>
      <c r="R150" t="s">
        <v>95</v>
      </c>
      <c r="T150">
        <v>59000</v>
      </c>
      <c r="U150" t="s">
        <v>66</v>
      </c>
      <c r="V150" t="s">
        <v>67</v>
      </c>
      <c r="W150" t="s">
        <v>96</v>
      </c>
      <c r="X150" t="s">
        <v>97</v>
      </c>
      <c r="Y150" t="s">
        <v>76</v>
      </c>
      <c r="Z150" t="str">
        <f>IF(COUNTA(A150:Y150)=0,"Blank","")</f>
        <v/>
      </c>
      <c r="AA150" s="4" t="str">
        <f>TEXT(F150,"mmmm")</f>
        <v>February</v>
      </c>
    </row>
    <row r="151" spans="1:27">
      <c r="A151">
        <v>10319</v>
      </c>
      <c r="B151">
        <v>30</v>
      </c>
      <c r="C151">
        <v>100</v>
      </c>
      <c r="D151">
        <v>9</v>
      </c>
      <c r="E151" s="1">
        <v>4111.8</v>
      </c>
      <c r="F151" s="3">
        <v>38294</v>
      </c>
      <c r="G151" t="s">
        <v>52</v>
      </c>
      <c r="H151">
        <v>4</v>
      </c>
      <c r="I151">
        <v>11</v>
      </c>
      <c r="J151">
        <v>2004</v>
      </c>
      <c r="K151" t="s">
        <v>7</v>
      </c>
      <c r="L151">
        <v>150</v>
      </c>
      <c r="M151" t="s">
        <v>529</v>
      </c>
      <c r="N151" t="s">
        <v>530</v>
      </c>
      <c r="O151">
        <v>2125551957</v>
      </c>
      <c r="P151" t="s">
        <v>531</v>
      </c>
      <c r="Q151" t="s">
        <v>532</v>
      </c>
      <c r="R151" t="s">
        <v>56</v>
      </c>
      <c r="S151" t="s">
        <v>57</v>
      </c>
      <c r="T151">
        <v>10022</v>
      </c>
      <c r="U151" t="s">
        <v>1</v>
      </c>
      <c r="V151" t="s">
        <v>58</v>
      </c>
      <c r="W151" t="s">
        <v>533</v>
      </c>
      <c r="X151" t="s">
        <v>534</v>
      </c>
      <c r="Y151" t="s">
        <v>76</v>
      </c>
      <c r="Z151" t="str">
        <f>IF(COUNTA(A151:Y151)=0,"Blank","")</f>
        <v/>
      </c>
      <c r="AA151" s="4" t="str">
        <f>TEXT(F151,"mmmm")</f>
        <v>November</v>
      </c>
    </row>
    <row r="152" spans="1:27">
      <c r="A152">
        <v>10104</v>
      </c>
      <c r="B152">
        <v>34</v>
      </c>
      <c r="C152">
        <v>100</v>
      </c>
      <c r="D152">
        <v>1</v>
      </c>
      <c r="E152" s="1">
        <v>5958.5</v>
      </c>
      <c r="F152" s="3">
        <v>37652</v>
      </c>
      <c r="G152" t="s">
        <v>52</v>
      </c>
      <c r="H152">
        <v>1</v>
      </c>
      <c r="I152">
        <v>1</v>
      </c>
      <c r="J152">
        <v>2003</v>
      </c>
      <c r="K152" t="s">
        <v>0</v>
      </c>
      <c r="L152">
        <v>151</v>
      </c>
      <c r="M152" t="s">
        <v>535</v>
      </c>
      <c r="N152" t="s">
        <v>199</v>
      </c>
      <c r="O152" t="s">
        <v>200</v>
      </c>
      <c r="P152" t="s">
        <v>201</v>
      </c>
      <c r="R152" t="s">
        <v>202</v>
      </c>
      <c r="T152">
        <v>28034</v>
      </c>
      <c r="U152" t="s">
        <v>203</v>
      </c>
      <c r="V152" t="s">
        <v>67</v>
      </c>
      <c r="W152" t="s">
        <v>204</v>
      </c>
      <c r="X152" t="s">
        <v>205</v>
      </c>
      <c r="Y152" t="s">
        <v>76</v>
      </c>
      <c r="Z152" t="str">
        <f>IF(COUNTA(A152:Y152)=0,"Blank","")</f>
        <v/>
      </c>
      <c r="AA152" s="4" t="str">
        <f>TEXT(F152,"mmmm")</f>
        <v>January</v>
      </c>
    </row>
    <row r="153" spans="1:27">
      <c r="A153">
        <v>10230</v>
      </c>
      <c r="B153">
        <v>43</v>
      </c>
      <c r="C153">
        <v>100</v>
      </c>
      <c r="D153">
        <v>1</v>
      </c>
      <c r="E153" s="1">
        <v>7016.31</v>
      </c>
      <c r="F153" s="3">
        <v>38061</v>
      </c>
      <c r="G153" t="s">
        <v>52</v>
      </c>
      <c r="H153">
        <v>1</v>
      </c>
      <c r="I153">
        <v>3</v>
      </c>
      <c r="J153">
        <v>2004</v>
      </c>
      <c r="K153" t="s">
        <v>0</v>
      </c>
      <c r="L153">
        <v>151</v>
      </c>
      <c r="M153" t="s">
        <v>535</v>
      </c>
      <c r="N153" t="s">
        <v>486</v>
      </c>
      <c r="O153" t="s">
        <v>487</v>
      </c>
      <c r="P153" t="s">
        <v>488</v>
      </c>
      <c r="R153" t="s">
        <v>489</v>
      </c>
      <c r="T153">
        <v>60528</v>
      </c>
      <c r="U153" t="s">
        <v>467</v>
      </c>
      <c r="V153" t="s">
        <v>67</v>
      </c>
      <c r="W153" t="s">
        <v>490</v>
      </c>
      <c r="X153" t="s">
        <v>438</v>
      </c>
      <c r="Y153" t="s">
        <v>176</v>
      </c>
      <c r="Z153" t="str">
        <f>IF(COUNTA(A153:Y153)=0,"Blank","")</f>
        <v/>
      </c>
      <c r="AA153" s="4" t="str">
        <f>TEXT(F153,"mmmm")</f>
        <v>March</v>
      </c>
    </row>
    <row r="154" spans="1:27">
      <c r="A154">
        <v>10324</v>
      </c>
      <c r="B154">
        <v>27</v>
      </c>
      <c r="C154">
        <v>54.33</v>
      </c>
      <c r="D154">
        <v>1</v>
      </c>
      <c r="E154" s="1">
        <v>1466.91</v>
      </c>
      <c r="F154" s="3">
        <v>38296</v>
      </c>
      <c r="G154" t="s">
        <v>52</v>
      </c>
      <c r="H154">
        <v>4</v>
      </c>
      <c r="I154">
        <v>11</v>
      </c>
      <c r="J154">
        <v>2004</v>
      </c>
      <c r="K154" t="s">
        <v>0</v>
      </c>
      <c r="L154">
        <v>151</v>
      </c>
      <c r="M154" t="s">
        <v>535</v>
      </c>
      <c r="N154" t="s">
        <v>124</v>
      </c>
      <c r="O154">
        <v>2125551500</v>
      </c>
      <c r="P154" t="s">
        <v>125</v>
      </c>
      <c r="Q154" t="s">
        <v>126</v>
      </c>
      <c r="R154" t="s">
        <v>56</v>
      </c>
      <c r="S154" t="s">
        <v>57</v>
      </c>
      <c r="T154">
        <v>10022</v>
      </c>
      <c r="U154" t="s">
        <v>1</v>
      </c>
      <c r="V154" t="s">
        <v>58</v>
      </c>
      <c r="W154" t="s">
        <v>127</v>
      </c>
      <c r="X154" t="s">
        <v>128</v>
      </c>
      <c r="Y154" t="s">
        <v>61</v>
      </c>
      <c r="Z154" t="str">
        <f>IF(COUNTA(A154:Y154)=0,"Blank","")</f>
        <v/>
      </c>
      <c r="AA154" s="4" t="str">
        <f>TEXT(F154,"mmmm")</f>
        <v>November</v>
      </c>
    </row>
    <row r="155" spans="1:27">
      <c r="A155">
        <v>10358</v>
      </c>
      <c r="B155">
        <v>49</v>
      </c>
      <c r="C155">
        <v>55.34</v>
      </c>
      <c r="D155">
        <v>5</v>
      </c>
      <c r="E155" s="1">
        <v>2711.66</v>
      </c>
      <c r="F155" s="3">
        <v>38331</v>
      </c>
      <c r="G155" t="s">
        <v>52</v>
      </c>
      <c r="H155">
        <v>4</v>
      </c>
      <c r="I155">
        <v>12</v>
      </c>
      <c r="J155">
        <v>2004</v>
      </c>
      <c r="K155" t="s">
        <v>0</v>
      </c>
      <c r="L155">
        <v>151</v>
      </c>
      <c r="M155" t="s">
        <v>535</v>
      </c>
      <c r="N155" t="s">
        <v>199</v>
      </c>
      <c r="O155" t="s">
        <v>200</v>
      </c>
      <c r="P155" t="s">
        <v>201</v>
      </c>
      <c r="R155" t="s">
        <v>202</v>
      </c>
      <c r="T155">
        <v>28034</v>
      </c>
      <c r="U155" t="s">
        <v>203</v>
      </c>
      <c r="V155" t="s">
        <v>67</v>
      </c>
      <c r="W155" t="s">
        <v>204</v>
      </c>
      <c r="X155" t="s">
        <v>205</v>
      </c>
      <c r="Y155" t="s">
        <v>61</v>
      </c>
      <c r="Z155" t="str">
        <f>IF(COUNTA(A155:Y155)=0,"Blank","")</f>
        <v/>
      </c>
      <c r="AA155" s="4" t="str">
        <f>TEXT(F155,"mmmm")</f>
        <v>December</v>
      </c>
    </row>
    <row r="156" spans="1:27">
      <c r="A156">
        <v>10372</v>
      </c>
      <c r="B156">
        <v>40</v>
      </c>
      <c r="C156">
        <v>100</v>
      </c>
      <c r="D156">
        <v>4</v>
      </c>
      <c r="E156" s="1">
        <v>5862</v>
      </c>
      <c r="F156" s="3">
        <v>38378</v>
      </c>
      <c r="G156" t="s">
        <v>52</v>
      </c>
      <c r="H156">
        <v>1</v>
      </c>
      <c r="I156">
        <v>1</v>
      </c>
      <c r="J156">
        <v>2005</v>
      </c>
      <c r="K156" t="s">
        <v>0</v>
      </c>
      <c r="L156">
        <v>151</v>
      </c>
      <c r="M156" t="s">
        <v>535</v>
      </c>
      <c r="N156" t="s">
        <v>270</v>
      </c>
      <c r="O156" t="s">
        <v>271</v>
      </c>
      <c r="P156" t="s">
        <v>272</v>
      </c>
      <c r="R156" t="s">
        <v>273</v>
      </c>
      <c r="S156" t="s">
        <v>274</v>
      </c>
      <c r="T156" t="s">
        <v>275</v>
      </c>
      <c r="U156" t="s">
        <v>224</v>
      </c>
      <c r="V156" t="s">
        <v>224</v>
      </c>
      <c r="W156" t="s">
        <v>276</v>
      </c>
      <c r="X156" t="s">
        <v>277</v>
      </c>
      <c r="Y156" t="s">
        <v>76</v>
      </c>
      <c r="Z156" t="str">
        <f>IF(COUNTA(A156:Y156)=0,"Blank","")</f>
        <v/>
      </c>
      <c r="AA156" s="4" t="str">
        <f>TEXT(F156,"mmmm")</f>
        <v>January</v>
      </c>
    </row>
    <row r="157" spans="1:27">
      <c r="A157">
        <v>10160</v>
      </c>
      <c r="B157">
        <v>46</v>
      </c>
      <c r="C157">
        <v>100</v>
      </c>
      <c r="D157">
        <v>6</v>
      </c>
      <c r="E157" s="1">
        <v>5294.14</v>
      </c>
      <c r="F157" s="3">
        <v>37905</v>
      </c>
      <c r="G157" t="s">
        <v>52</v>
      </c>
      <c r="H157">
        <v>4</v>
      </c>
      <c r="I157">
        <v>10</v>
      </c>
      <c r="J157">
        <v>2003</v>
      </c>
      <c r="K157" t="s">
        <v>0</v>
      </c>
      <c r="L157">
        <v>117</v>
      </c>
      <c r="M157" t="s">
        <v>536</v>
      </c>
      <c r="N157" t="s">
        <v>382</v>
      </c>
      <c r="O157">
        <v>2155554369</v>
      </c>
      <c r="P157" t="s">
        <v>383</v>
      </c>
      <c r="R157" t="s">
        <v>384</v>
      </c>
      <c r="S157" t="s">
        <v>80</v>
      </c>
      <c r="U157" t="s">
        <v>1</v>
      </c>
      <c r="V157" t="s">
        <v>58</v>
      </c>
      <c r="W157" t="s">
        <v>385</v>
      </c>
      <c r="X157" t="s">
        <v>128</v>
      </c>
      <c r="Y157" t="s">
        <v>76</v>
      </c>
      <c r="Z157" t="str">
        <f>IF(COUNTA(A157:Y157)=0,"Blank","")</f>
        <v/>
      </c>
      <c r="AA157" s="4" t="str">
        <f>TEXT(F157,"mmmm")</f>
        <v>October</v>
      </c>
    </row>
    <row r="158" spans="1:27">
      <c r="A158">
        <v>10170</v>
      </c>
      <c r="B158">
        <v>47</v>
      </c>
      <c r="C158">
        <v>100</v>
      </c>
      <c r="D158">
        <v>4</v>
      </c>
      <c r="E158" s="1">
        <v>5464.69</v>
      </c>
      <c r="F158" s="3">
        <v>37929</v>
      </c>
      <c r="G158" t="s">
        <v>52</v>
      </c>
      <c r="H158">
        <v>4</v>
      </c>
      <c r="I158">
        <v>11</v>
      </c>
      <c r="J158">
        <v>2003</v>
      </c>
      <c r="K158" t="s">
        <v>0</v>
      </c>
      <c r="L158">
        <v>117</v>
      </c>
      <c r="M158" t="s">
        <v>536</v>
      </c>
      <c r="N158" t="s">
        <v>433</v>
      </c>
      <c r="O158" t="s">
        <v>434</v>
      </c>
      <c r="P158" t="s">
        <v>435</v>
      </c>
      <c r="R158" t="s">
        <v>436</v>
      </c>
      <c r="T158">
        <v>8010</v>
      </c>
      <c r="U158" t="s">
        <v>173</v>
      </c>
      <c r="V158" t="s">
        <v>67</v>
      </c>
      <c r="W158" t="s">
        <v>437</v>
      </c>
      <c r="X158" t="s">
        <v>438</v>
      </c>
      <c r="Y158" t="s">
        <v>76</v>
      </c>
      <c r="Z158" t="str">
        <f>IF(COUNTA(A158:Y158)=0,"Blank","")</f>
        <v/>
      </c>
      <c r="AA158" s="4" t="str">
        <f>TEXT(F158,"mmmm")</f>
        <v>November</v>
      </c>
    </row>
    <row r="159" spans="1:27">
      <c r="A159">
        <v>10212</v>
      </c>
      <c r="B159">
        <v>39</v>
      </c>
      <c r="C159">
        <v>100</v>
      </c>
      <c r="D159">
        <v>16</v>
      </c>
      <c r="E159" s="1">
        <v>4946.76</v>
      </c>
      <c r="F159" s="3">
        <v>38002</v>
      </c>
      <c r="G159" t="s">
        <v>52</v>
      </c>
      <c r="H159">
        <v>1</v>
      </c>
      <c r="I159">
        <v>1</v>
      </c>
      <c r="J159">
        <v>2004</v>
      </c>
      <c r="K159" t="s">
        <v>0</v>
      </c>
      <c r="L159">
        <v>117</v>
      </c>
      <c r="M159" t="s">
        <v>536</v>
      </c>
      <c r="N159" t="s">
        <v>199</v>
      </c>
      <c r="O159" t="s">
        <v>200</v>
      </c>
      <c r="P159" t="s">
        <v>201</v>
      </c>
      <c r="R159" t="s">
        <v>202</v>
      </c>
      <c r="T159">
        <v>28034</v>
      </c>
      <c r="U159" t="s">
        <v>203</v>
      </c>
      <c r="V159" t="s">
        <v>67</v>
      </c>
      <c r="W159" t="s">
        <v>204</v>
      </c>
      <c r="X159" t="s">
        <v>205</v>
      </c>
      <c r="Y159" t="s">
        <v>76</v>
      </c>
      <c r="Z159" t="str">
        <f>IF(COUNTA(A159:Y159)=0,"Blank","")</f>
        <v/>
      </c>
      <c r="AA159" s="4" t="str">
        <f>TEXT(F159,"mmmm")</f>
        <v>January</v>
      </c>
    </row>
    <row r="160" spans="1:27">
      <c r="A160">
        <v>10376</v>
      </c>
      <c r="B160">
        <v>35</v>
      </c>
      <c r="C160">
        <v>100</v>
      </c>
      <c r="D160">
        <v>1</v>
      </c>
      <c r="E160" s="1">
        <v>3987.2</v>
      </c>
      <c r="F160" s="3">
        <v>38391</v>
      </c>
      <c r="G160" t="s">
        <v>52</v>
      </c>
      <c r="H160">
        <v>1</v>
      </c>
      <c r="I160">
        <v>2</v>
      </c>
      <c r="J160">
        <v>2005</v>
      </c>
      <c r="K160" t="s">
        <v>0</v>
      </c>
      <c r="L160">
        <v>117</v>
      </c>
      <c r="M160" t="s">
        <v>536</v>
      </c>
      <c r="N160" t="s">
        <v>537</v>
      </c>
      <c r="O160">
        <v>3105552373</v>
      </c>
      <c r="P160" t="s">
        <v>538</v>
      </c>
      <c r="R160" t="s">
        <v>539</v>
      </c>
      <c r="S160" t="s">
        <v>80</v>
      </c>
      <c r="T160">
        <v>92561</v>
      </c>
      <c r="U160" t="s">
        <v>1</v>
      </c>
      <c r="V160" t="s">
        <v>58</v>
      </c>
      <c r="W160" t="s">
        <v>81</v>
      </c>
      <c r="X160" t="s">
        <v>269</v>
      </c>
      <c r="Y160" t="s">
        <v>76</v>
      </c>
      <c r="Z160" t="str">
        <f>IF(COUNTA(A160:Y160)=0,"Blank","")</f>
        <v/>
      </c>
      <c r="AA160" s="4" t="str">
        <f>TEXT(F160,"mmmm")</f>
        <v>February</v>
      </c>
    </row>
    <row r="161" spans="1:27">
      <c r="A161">
        <v>10349</v>
      </c>
      <c r="B161">
        <v>26</v>
      </c>
      <c r="C161">
        <v>100</v>
      </c>
      <c r="D161">
        <v>10</v>
      </c>
      <c r="E161" s="1">
        <v>4408.5600000000004</v>
      </c>
      <c r="F161" s="3">
        <v>38322</v>
      </c>
      <c r="G161" t="s">
        <v>52</v>
      </c>
      <c r="H161">
        <v>4</v>
      </c>
      <c r="I161">
        <v>12</v>
      </c>
      <c r="J161">
        <v>2004</v>
      </c>
      <c r="K161" t="s">
        <v>0</v>
      </c>
      <c r="L161">
        <v>173</v>
      </c>
      <c r="M161" t="s">
        <v>540</v>
      </c>
      <c r="N161" t="s">
        <v>499</v>
      </c>
      <c r="O161">
        <v>2125557413</v>
      </c>
      <c r="P161" t="s">
        <v>500</v>
      </c>
      <c r="Q161" t="s">
        <v>501</v>
      </c>
      <c r="R161" t="s">
        <v>56</v>
      </c>
      <c r="S161" t="s">
        <v>57</v>
      </c>
      <c r="T161">
        <v>10022</v>
      </c>
      <c r="U161" t="s">
        <v>1</v>
      </c>
      <c r="V161" t="s">
        <v>58</v>
      </c>
      <c r="W161" t="s">
        <v>81</v>
      </c>
      <c r="X161" t="s">
        <v>502</v>
      </c>
      <c r="Y161" t="s">
        <v>76</v>
      </c>
      <c r="Z161" t="str">
        <f>IF(COUNTA(A161:Y161)=0,"Blank","")</f>
        <v/>
      </c>
      <c r="AA161" s="4" t="str">
        <f>TEXT(F161,"mmmm")</f>
        <v>December</v>
      </c>
    </row>
    <row r="162" spans="1:27">
      <c r="A162">
        <v>10396</v>
      </c>
      <c r="B162">
        <v>33</v>
      </c>
      <c r="C162">
        <v>100</v>
      </c>
      <c r="D162">
        <v>3</v>
      </c>
      <c r="E162" s="1">
        <v>6109.29</v>
      </c>
      <c r="F162" s="3">
        <v>38434</v>
      </c>
      <c r="G162" t="s">
        <v>52</v>
      </c>
      <c r="H162">
        <v>1</v>
      </c>
      <c r="I162">
        <v>3</v>
      </c>
      <c r="J162">
        <v>2005</v>
      </c>
      <c r="K162" t="s">
        <v>0</v>
      </c>
      <c r="L162">
        <v>173</v>
      </c>
      <c r="M162" t="s">
        <v>540</v>
      </c>
      <c r="N162" t="s">
        <v>296</v>
      </c>
      <c r="O162">
        <v>4155551450</v>
      </c>
      <c r="P162" t="s">
        <v>297</v>
      </c>
      <c r="R162" t="s">
        <v>298</v>
      </c>
      <c r="S162" t="s">
        <v>80</v>
      </c>
      <c r="T162">
        <v>97562</v>
      </c>
      <c r="U162" t="s">
        <v>1</v>
      </c>
      <c r="V162" t="s">
        <v>58</v>
      </c>
      <c r="W162" t="s">
        <v>299</v>
      </c>
      <c r="X162" t="s">
        <v>300</v>
      </c>
      <c r="Y162" t="s">
        <v>76</v>
      </c>
      <c r="Z162" t="str">
        <f>IF(COUNTA(A162:Y162)=0,"Blank","")</f>
        <v/>
      </c>
      <c r="AA162" s="4" t="str">
        <f>TEXT(F162,"mmmm")</f>
        <v>March</v>
      </c>
    </row>
    <row r="163" spans="1:27">
      <c r="A163">
        <v>10377</v>
      </c>
      <c r="B163">
        <v>24</v>
      </c>
      <c r="C163">
        <v>67.83</v>
      </c>
      <c r="D163">
        <v>5</v>
      </c>
      <c r="E163" s="1">
        <v>1627.92</v>
      </c>
      <c r="F163" s="3">
        <v>38392</v>
      </c>
      <c r="G163" t="s">
        <v>52</v>
      </c>
      <c r="H163">
        <v>1</v>
      </c>
      <c r="I163">
        <v>2</v>
      </c>
      <c r="J163">
        <v>2005</v>
      </c>
      <c r="K163" t="s">
        <v>0</v>
      </c>
      <c r="L163">
        <v>79</v>
      </c>
      <c r="M163" t="s">
        <v>541</v>
      </c>
      <c r="N163" t="s">
        <v>151</v>
      </c>
      <c r="O163" t="s">
        <v>152</v>
      </c>
      <c r="P163" t="s">
        <v>153</v>
      </c>
      <c r="R163" t="s">
        <v>154</v>
      </c>
      <c r="T163">
        <v>21240</v>
      </c>
      <c r="U163" t="s">
        <v>155</v>
      </c>
      <c r="V163" t="s">
        <v>67</v>
      </c>
      <c r="W163" t="s">
        <v>156</v>
      </c>
      <c r="X163" t="s">
        <v>157</v>
      </c>
      <c r="Y163" t="s">
        <v>61</v>
      </c>
      <c r="Z163" t="str">
        <f>IF(COUNTA(A163:Y163)=0,"Blank","")</f>
        <v/>
      </c>
      <c r="AA163" s="4" t="str">
        <f>TEXT(F163,"mmmm")</f>
        <v>February</v>
      </c>
    </row>
    <row r="164" spans="1:27">
      <c r="A164">
        <v>10115</v>
      </c>
      <c r="B164">
        <v>46</v>
      </c>
      <c r="C164">
        <v>100</v>
      </c>
      <c r="D164">
        <v>5</v>
      </c>
      <c r="E164" s="1">
        <v>5723.78</v>
      </c>
      <c r="F164" s="3">
        <v>37715</v>
      </c>
      <c r="G164" t="s">
        <v>52</v>
      </c>
      <c r="H164">
        <v>2</v>
      </c>
      <c r="I164">
        <v>4</v>
      </c>
      <c r="J164">
        <v>2003</v>
      </c>
      <c r="K164" t="s">
        <v>11</v>
      </c>
      <c r="L164">
        <v>118</v>
      </c>
      <c r="M164" t="s">
        <v>542</v>
      </c>
      <c r="N164" t="s">
        <v>227</v>
      </c>
      <c r="O164">
        <v>2125558493</v>
      </c>
      <c r="P164" t="s">
        <v>228</v>
      </c>
      <c r="Q164" t="s">
        <v>229</v>
      </c>
      <c r="R164" t="s">
        <v>56</v>
      </c>
      <c r="S164" t="s">
        <v>57</v>
      </c>
      <c r="T164">
        <v>10022</v>
      </c>
      <c r="U164" t="s">
        <v>1</v>
      </c>
      <c r="V164" t="s">
        <v>58</v>
      </c>
      <c r="W164" t="s">
        <v>149</v>
      </c>
      <c r="X164" t="s">
        <v>230</v>
      </c>
      <c r="Y164" t="s">
        <v>76</v>
      </c>
      <c r="Z164" t="str">
        <f>IF(COUNTA(A164:Y164)=0,"Blank","")</f>
        <v/>
      </c>
      <c r="AA164" s="4" t="str">
        <f>TEXT(F164,"mmmm")</f>
        <v>April</v>
      </c>
    </row>
    <row r="165" spans="1:27">
      <c r="A165">
        <v>10141</v>
      </c>
      <c r="B165">
        <v>21</v>
      </c>
      <c r="C165">
        <v>100</v>
      </c>
      <c r="D165">
        <v>5</v>
      </c>
      <c r="E165" s="1">
        <v>2140.11</v>
      </c>
      <c r="F165" s="3">
        <v>37834</v>
      </c>
      <c r="G165" t="s">
        <v>52</v>
      </c>
      <c r="H165">
        <v>3</v>
      </c>
      <c r="I165">
        <v>8</v>
      </c>
      <c r="J165">
        <v>2003</v>
      </c>
      <c r="K165" t="s">
        <v>11</v>
      </c>
      <c r="L165">
        <v>118</v>
      </c>
      <c r="M165" t="s">
        <v>542</v>
      </c>
      <c r="N165" t="s">
        <v>491</v>
      </c>
      <c r="O165" t="s">
        <v>492</v>
      </c>
      <c r="P165" t="s">
        <v>493</v>
      </c>
      <c r="R165" t="s">
        <v>494</v>
      </c>
      <c r="T165" t="s">
        <v>495</v>
      </c>
      <c r="U165" t="s">
        <v>155</v>
      </c>
      <c r="V165" t="s">
        <v>67</v>
      </c>
      <c r="W165" t="s">
        <v>496</v>
      </c>
      <c r="X165" t="s">
        <v>497</v>
      </c>
      <c r="Y165" t="s">
        <v>61</v>
      </c>
      <c r="Z165" t="str">
        <f>IF(COUNTA(A165:Y165)=0,"Blank","")</f>
        <v/>
      </c>
      <c r="AA165" s="4" t="str">
        <f>TEXT(F165,"mmmm")</f>
        <v>August</v>
      </c>
    </row>
    <row r="166" spans="1:27">
      <c r="A166">
        <v>10151</v>
      </c>
      <c r="B166">
        <v>24</v>
      </c>
      <c r="C166">
        <v>100</v>
      </c>
      <c r="D166">
        <v>3</v>
      </c>
      <c r="E166" s="1">
        <v>3327.6</v>
      </c>
      <c r="F166" s="3">
        <v>37885</v>
      </c>
      <c r="G166" t="s">
        <v>52</v>
      </c>
      <c r="H166">
        <v>3</v>
      </c>
      <c r="I166">
        <v>9</v>
      </c>
      <c r="J166">
        <v>2003</v>
      </c>
      <c r="K166" t="s">
        <v>11</v>
      </c>
      <c r="L166">
        <v>118</v>
      </c>
      <c r="M166" t="s">
        <v>542</v>
      </c>
      <c r="N166" t="s">
        <v>415</v>
      </c>
      <c r="O166" t="s">
        <v>416</v>
      </c>
      <c r="P166" t="s">
        <v>417</v>
      </c>
      <c r="R166" t="s">
        <v>418</v>
      </c>
      <c r="T166">
        <v>90110</v>
      </c>
      <c r="U166" t="s">
        <v>155</v>
      </c>
      <c r="V166" t="s">
        <v>67</v>
      </c>
      <c r="W166" t="s">
        <v>419</v>
      </c>
      <c r="X166" t="s">
        <v>420</v>
      </c>
      <c r="Y166" t="s">
        <v>76</v>
      </c>
      <c r="Z166" t="str">
        <f>IF(COUNTA(A166:Y166)=0,"Blank","")</f>
        <v/>
      </c>
      <c r="AA166" s="4" t="str">
        <f>TEXT(F166,"mmmm")</f>
        <v>September</v>
      </c>
    </row>
    <row r="167" spans="1:27">
      <c r="A167">
        <v>10184</v>
      </c>
      <c r="B167">
        <v>37</v>
      </c>
      <c r="C167">
        <v>100</v>
      </c>
      <c r="D167">
        <v>6</v>
      </c>
      <c r="E167" s="1">
        <v>4516.22</v>
      </c>
      <c r="F167" s="3">
        <v>37939</v>
      </c>
      <c r="G167" t="s">
        <v>52</v>
      </c>
      <c r="H167">
        <v>4</v>
      </c>
      <c r="I167">
        <v>11</v>
      </c>
      <c r="J167">
        <v>2003</v>
      </c>
      <c r="K167" t="s">
        <v>11</v>
      </c>
      <c r="L167">
        <v>118</v>
      </c>
      <c r="M167" t="s">
        <v>542</v>
      </c>
      <c r="N167" t="s">
        <v>543</v>
      </c>
      <c r="O167" t="s">
        <v>544</v>
      </c>
      <c r="P167" t="s">
        <v>545</v>
      </c>
      <c r="R167" t="s">
        <v>546</v>
      </c>
      <c r="T167">
        <v>41101</v>
      </c>
      <c r="U167" t="s">
        <v>203</v>
      </c>
      <c r="V167" t="s">
        <v>67</v>
      </c>
      <c r="W167" t="s">
        <v>547</v>
      </c>
      <c r="X167" t="s">
        <v>548</v>
      </c>
      <c r="Y167" t="s">
        <v>76</v>
      </c>
      <c r="Z167" t="str">
        <f>IF(COUNTA(A167:Y167)=0,"Blank","")</f>
        <v/>
      </c>
      <c r="AA167" s="4" t="str">
        <f>TEXT(F167,"mmmm")</f>
        <v>November</v>
      </c>
    </row>
    <row r="168" spans="1:27">
      <c r="A168">
        <v>10195</v>
      </c>
      <c r="B168">
        <v>49</v>
      </c>
      <c r="C168">
        <v>100</v>
      </c>
      <c r="D168">
        <v>6</v>
      </c>
      <c r="E168" s="1">
        <v>6445.46</v>
      </c>
      <c r="F168" s="3">
        <v>37950</v>
      </c>
      <c r="G168" t="s">
        <v>52</v>
      </c>
      <c r="H168">
        <v>4</v>
      </c>
      <c r="I168">
        <v>11</v>
      </c>
      <c r="J168">
        <v>2003</v>
      </c>
      <c r="K168" t="s">
        <v>11</v>
      </c>
      <c r="L168">
        <v>118</v>
      </c>
      <c r="M168" t="s">
        <v>542</v>
      </c>
      <c r="N168" t="s">
        <v>341</v>
      </c>
      <c r="O168">
        <v>9145554562</v>
      </c>
      <c r="P168" t="s">
        <v>342</v>
      </c>
      <c r="R168" t="s">
        <v>343</v>
      </c>
      <c r="S168" t="s">
        <v>57</v>
      </c>
      <c r="T168">
        <v>24067</v>
      </c>
      <c r="U168" t="s">
        <v>1</v>
      </c>
      <c r="V168" t="s">
        <v>58</v>
      </c>
      <c r="W168" t="s">
        <v>127</v>
      </c>
      <c r="X168" t="s">
        <v>262</v>
      </c>
      <c r="Y168" t="s">
        <v>76</v>
      </c>
      <c r="Z168" t="str">
        <f>IF(COUNTA(A168:Y168)=0,"Blank","")</f>
        <v/>
      </c>
      <c r="AA168" s="4" t="str">
        <f>TEXT(F168,"mmmm")</f>
        <v>November</v>
      </c>
    </row>
    <row r="169" spans="1:27">
      <c r="A169">
        <v>10219</v>
      </c>
      <c r="B169">
        <v>48</v>
      </c>
      <c r="C169">
        <v>100</v>
      </c>
      <c r="D169">
        <v>2</v>
      </c>
      <c r="E169" s="1">
        <v>4891.68</v>
      </c>
      <c r="F169" s="3">
        <v>38027</v>
      </c>
      <c r="G169" t="s">
        <v>52</v>
      </c>
      <c r="H169">
        <v>1</v>
      </c>
      <c r="I169">
        <v>2</v>
      </c>
      <c r="J169">
        <v>2004</v>
      </c>
      <c r="K169" t="s">
        <v>11</v>
      </c>
      <c r="L169">
        <v>118</v>
      </c>
      <c r="M169" t="s">
        <v>542</v>
      </c>
      <c r="N169" t="s">
        <v>549</v>
      </c>
      <c r="O169">
        <v>4155554312</v>
      </c>
      <c r="P169" t="s">
        <v>550</v>
      </c>
      <c r="R169" t="s">
        <v>551</v>
      </c>
      <c r="S169" t="s">
        <v>80</v>
      </c>
      <c r="T169">
        <v>94217</v>
      </c>
      <c r="U169" t="s">
        <v>1</v>
      </c>
      <c r="V169" t="s">
        <v>58</v>
      </c>
      <c r="W169" t="s">
        <v>552</v>
      </c>
      <c r="X169" t="s">
        <v>424</v>
      </c>
      <c r="Y169" t="s">
        <v>76</v>
      </c>
      <c r="Z169" t="str">
        <f>IF(COUNTA(A169:Y169)=0,"Blank","")</f>
        <v/>
      </c>
      <c r="AA169" s="4" t="str">
        <f>TEXT(F169,"mmmm")</f>
        <v>February</v>
      </c>
    </row>
    <row r="170" spans="1:27">
      <c r="A170">
        <v>10246</v>
      </c>
      <c r="B170">
        <v>46</v>
      </c>
      <c r="C170">
        <v>100</v>
      </c>
      <c r="D170">
        <v>5</v>
      </c>
      <c r="E170" s="1">
        <v>5069.66</v>
      </c>
      <c r="F170" s="3">
        <v>38112</v>
      </c>
      <c r="G170" t="s">
        <v>52</v>
      </c>
      <c r="H170">
        <v>2</v>
      </c>
      <c r="I170">
        <v>5</v>
      </c>
      <c r="J170">
        <v>2004</v>
      </c>
      <c r="K170" t="s">
        <v>11</v>
      </c>
      <c r="L170">
        <v>118</v>
      </c>
      <c r="M170" t="s">
        <v>542</v>
      </c>
      <c r="N170" t="s">
        <v>199</v>
      </c>
      <c r="O170" t="s">
        <v>200</v>
      </c>
      <c r="P170" t="s">
        <v>201</v>
      </c>
      <c r="R170" t="s">
        <v>202</v>
      </c>
      <c r="T170">
        <v>28034</v>
      </c>
      <c r="U170" t="s">
        <v>203</v>
      </c>
      <c r="V170" t="s">
        <v>67</v>
      </c>
      <c r="W170" t="s">
        <v>204</v>
      </c>
      <c r="X170" t="s">
        <v>205</v>
      </c>
      <c r="Y170" t="s">
        <v>76</v>
      </c>
      <c r="Z170" t="str">
        <f>IF(COUNTA(A170:Y170)=0,"Blank","")</f>
        <v/>
      </c>
      <c r="AA170" s="4" t="str">
        <f>TEXT(F170,"mmmm")</f>
        <v>May</v>
      </c>
    </row>
    <row r="171" spans="1:27">
      <c r="A171">
        <v>10271</v>
      </c>
      <c r="B171">
        <v>31</v>
      </c>
      <c r="C171">
        <v>97.17</v>
      </c>
      <c r="D171">
        <v>5</v>
      </c>
      <c r="E171" s="1">
        <v>3012.27</v>
      </c>
      <c r="F171" s="3">
        <v>38188</v>
      </c>
      <c r="G171" t="s">
        <v>52</v>
      </c>
      <c r="H171">
        <v>3</v>
      </c>
      <c r="I171">
        <v>7</v>
      </c>
      <c r="J171">
        <v>2004</v>
      </c>
      <c r="K171" t="s">
        <v>11</v>
      </c>
      <c r="L171">
        <v>118</v>
      </c>
      <c r="M171" t="s">
        <v>542</v>
      </c>
      <c r="N171" t="s">
        <v>296</v>
      </c>
      <c r="O171">
        <v>4155551450</v>
      </c>
      <c r="P171" t="s">
        <v>297</v>
      </c>
      <c r="R171" t="s">
        <v>298</v>
      </c>
      <c r="S171" t="s">
        <v>80</v>
      </c>
      <c r="T171">
        <v>97562</v>
      </c>
      <c r="U171" t="s">
        <v>1</v>
      </c>
      <c r="V171" t="s">
        <v>58</v>
      </c>
      <c r="W171" t="s">
        <v>299</v>
      </c>
      <c r="X171" t="s">
        <v>300</v>
      </c>
      <c r="Y171" t="s">
        <v>76</v>
      </c>
      <c r="Z171" t="str">
        <f>IF(COUNTA(A171:Y171)=0,"Blank","")</f>
        <v/>
      </c>
      <c r="AA171" s="4" t="str">
        <f>TEXT(F171,"mmmm")</f>
        <v>July</v>
      </c>
    </row>
    <row r="172" spans="1:27">
      <c r="A172">
        <v>10292</v>
      </c>
      <c r="B172">
        <v>21</v>
      </c>
      <c r="C172">
        <v>100</v>
      </c>
      <c r="D172">
        <v>8</v>
      </c>
      <c r="E172" s="1">
        <v>2214.87</v>
      </c>
      <c r="F172" s="3">
        <v>38238</v>
      </c>
      <c r="G172" t="s">
        <v>52</v>
      </c>
      <c r="H172">
        <v>3</v>
      </c>
      <c r="I172">
        <v>9</v>
      </c>
      <c r="J172">
        <v>2004</v>
      </c>
      <c r="K172" t="s">
        <v>11</v>
      </c>
      <c r="L172">
        <v>118</v>
      </c>
      <c r="M172" t="s">
        <v>542</v>
      </c>
      <c r="N172" t="s">
        <v>54</v>
      </c>
      <c r="O172">
        <v>2125557818</v>
      </c>
      <c r="P172" t="s">
        <v>55</v>
      </c>
      <c r="R172" t="s">
        <v>56</v>
      </c>
      <c r="S172" t="s">
        <v>57</v>
      </c>
      <c r="T172">
        <v>10022</v>
      </c>
      <c r="U172" t="s">
        <v>1</v>
      </c>
      <c r="V172" t="s">
        <v>58</v>
      </c>
      <c r="W172" t="s">
        <v>59</v>
      </c>
      <c r="X172" t="s">
        <v>60</v>
      </c>
      <c r="Y172" t="s">
        <v>61</v>
      </c>
      <c r="Z172" t="str">
        <f>IF(COUNTA(A172:Y172)=0,"Blank","")</f>
        <v/>
      </c>
      <c r="AA172" s="4" t="str">
        <f>TEXT(F172,"mmmm")</f>
        <v>September</v>
      </c>
    </row>
    <row r="173" spans="1:27">
      <c r="A173">
        <v>10412</v>
      </c>
      <c r="B173">
        <v>54</v>
      </c>
      <c r="C173">
        <v>100</v>
      </c>
      <c r="D173">
        <v>5</v>
      </c>
      <c r="E173" s="1">
        <v>5951.34</v>
      </c>
      <c r="F173" s="3">
        <v>38475</v>
      </c>
      <c r="G173" t="s">
        <v>52</v>
      </c>
      <c r="H173">
        <v>2</v>
      </c>
      <c r="I173">
        <v>5</v>
      </c>
      <c r="J173">
        <v>2005</v>
      </c>
      <c r="K173" t="s">
        <v>11</v>
      </c>
      <c r="L173">
        <v>118</v>
      </c>
      <c r="M173" t="s">
        <v>542</v>
      </c>
      <c r="N173" t="s">
        <v>199</v>
      </c>
      <c r="O173" t="s">
        <v>200</v>
      </c>
      <c r="P173" t="s">
        <v>201</v>
      </c>
      <c r="R173" t="s">
        <v>202</v>
      </c>
      <c r="T173">
        <v>28034</v>
      </c>
      <c r="U173" t="s">
        <v>203</v>
      </c>
      <c r="V173" t="s">
        <v>67</v>
      </c>
      <c r="W173" t="s">
        <v>204</v>
      </c>
      <c r="X173" t="s">
        <v>205</v>
      </c>
      <c r="Y173" t="s">
        <v>76</v>
      </c>
      <c r="Z173" t="str">
        <f>IF(COUNTA(A173:Y173)=0,"Blank","")</f>
        <v/>
      </c>
      <c r="AA173" s="4" t="str">
        <f>TEXT(F173,"mmmm")</f>
        <v>May</v>
      </c>
    </row>
    <row r="174" spans="1:27">
      <c r="A174">
        <v>10192</v>
      </c>
      <c r="B174">
        <v>27</v>
      </c>
      <c r="C174">
        <v>100</v>
      </c>
      <c r="D174">
        <v>16</v>
      </c>
      <c r="E174" s="1">
        <v>3544.56</v>
      </c>
      <c r="F174" s="3">
        <v>37945</v>
      </c>
      <c r="G174" t="s">
        <v>52</v>
      </c>
      <c r="H174">
        <v>4</v>
      </c>
      <c r="I174">
        <v>11</v>
      </c>
      <c r="J174">
        <v>2003</v>
      </c>
      <c r="K174" t="s">
        <v>0</v>
      </c>
      <c r="L174">
        <v>115</v>
      </c>
      <c r="M174" t="s">
        <v>553</v>
      </c>
      <c r="N174" t="s">
        <v>301</v>
      </c>
      <c r="O174">
        <v>6035558647</v>
      </c>
      <c r="P174" t="s">
        <v>302</v>
      </c>
      <c r="R174" t="s">
        <v>303</v>
      </c>
      <c r="S174" t="s">
        <v>304</v>
      </c>
      <c r="T174">
        <v>62005</v>
      </c>
      <c r="U174" t="s">
        <v>1</v>
      </c>
      <c r="V174" t="s">
        <v>58</v>
      </c>
      <c r="W174" t="s">
        <v>81</v>
      </c>
      <c r="X174" t="s">
        <v>300</v>
      </c>
      <c r="Y174" t="s">
        <v>76</v>
      </c>
      <c r="Z174" t="str">
        <f>IF(COUNTA(A174:Y174)=0,"Blank","")</f>
        <v/>
      </c>
      <c r="AA174" s="4" t="str">
        <f>TEXT(F174,"mmmm")</f>
        <v>November</v>
      </c>
    </row>
    <row r="175" spans="1:27">
      <c r="A175">
        <v>10239</v>
      </c>
      <c r="B175">
        <v>21</v>
      </c>
      <c r="C175">
        <v>93.28</v>
      </c>
      <c r="D175">
        <v>5</v>
      </c>
      <c r="E175" s="1">
        <v>1958.88</v>
      </c>
      <c r="F175" s="3">
        <v>38089</v>
      </c>
      <c r="G175" t="s">
        <v>52</v>
      </c>
      <c r="H175">
        <v>2</v>
      </c>
      <c r="I175">
        <v>4</v>
      </c>
      <c r="J175">
        <v>2004</v>
      </c>
      <c r="K175" t="s">
        <v>0</v>
      </c>
      <c r="L175">
        <v>115</v>
      </c>
      <c r="M175" t="s">
        <v>553</v>
      </c>
      <c r="N175" t="s">
        <v>415</v>
      </c>
      <c r="O175" t="s">
        <v>416</v>
      </c>
      <c r="P175" t="s">
        <v>417</v>
      </c>
      <c r="R175" t="s">
        <v>418</v>
      </c>
      <c r="T175">
        <v>90110</v>
      </c>
      <c r="U175" t="s">
        <v>155</v>
      </c>
      <c r="V175" t="s">
        <v>67</v>
      </c>
      <c r="W175" t="s">
        <v>419</v>
      </c>
      <c r="X175" t="s">
        <v>420</v>
      </c>
      <c r="Y175" t="s">
        <v>61</v>
      </c>
      <c r="Z175" t="str">
        <f>IF(COUNTA(A175:Y175)=0,"Blank","")</f>
        <v/>
      </c>
      <c r="AA175" s="4" t="str">
        <f>TEXT(F175,"mmmm")</f>
        <v>April</v>
      </c>
    </row>
    <row r="176" spans="1:27">
      <c r="A176">
        <v>10277</v>
      </c>
      <c r="B176">
        <v>28</v>
      </c>
      <c r="C176">
        <v>100</v>
      </c>
      <c r="D176">
        <v>1</v>
      </c>
      <c r="E176" s="1">
        <v>3127.88</v>
      </c>
      <c r="F176" s="3">
        <v>38203</v>
      </c>
      <c r="G176" t="s">
        <v>52</v>
      </c>
      <c r="H176">
        <v>3</v>
      </c>
      <c r="I176">
        <v>8</v>
      </c>
      <c r="J176">
        <v>2004</v>
      </c>
      <c r="K176" t="s">
        <v>0</v>
      </c>
      <c r="L176">
        <v>115</v>
      </c>
      <c r="M176" t="s">
        <v>553</v>
      </c>
      <c r="N176" t="s">
        <v>220</v>
      </c>
      <c r="O176" t="s">
        <v>221</v>
      </c>
      <c r="P176" t="s">
        <v>222</v>
      </c>
      <c r="R176" t="s">
        <v>223</v>
      </c>
      <c r="T176">
        <v>79903</v>
      </c>
      <c r="U176" t="s">
        <v>223</v>
      </c>
      <c r="V176" t="s">
        <v>224</v>
      </c>
      <c r="W176" t="s">
        <v>225</v>
      </c>
      <c r="X176" t="s">
        <v>226</v>
      </c>
      <c r="Y176" t="s">
        <v>76</v>
      </c>
      <c r="Z176" t="str">
        <f>IF(COUNTA(A176:Y176)=0,"Blank","")</f>
        <v/>
      </c>
      <c r="AA176" s="4" t="str">
        <f>TEXT(F176,"mmmm")</f>
        <v>August</v>
      </c>
    </row>
    <row r="177" spans="1:27">
      <c r="A177">
        <v>10321</v>
      </c>
      <c r="B177">
        <v>24</v>
      </c>
      <c r="C177">
        <v>100</v>
      </c>
      <c r="D177">
        <v>15</v>
      </c>
      <c r="E177" s="1">
        <v>2984.88</v>
      </c>
      <c r="F177" s="3">
        <v>38295</v>
      </c>
      <c r="G177" t="s">
        <v>52</v>
      </c>
      <c r="H177">
        <v>4</v>
      </c>
      <c r="I177">
        <v>11</v>
      </c>
      <c r="J177">
        <v>2004</v>
      </c>
      <c r="K177" t="s">
        <v>0</v>
      </c>
      <c r="L177">
        <v>115</v>
      </c>
      <c r="M177" t="s">
        <v>553</v>
      </c>
      <c r="N177" t="s">
        <v>185</v>
      </c>
      <c r="O177">
        <v>5085552555</v>
      </c>
      <c r="P177" t="s">
        <v>186</v>
      </c>
      <c r="R177" t="s">
        <v>187</v>
      </c>
      <c r="S177" t="s">
        <v>148</v>
      </c>
      <c r="T177">
        <v>50553</v>
      </c>
      <c r="U177" t="s">
        <v>1</v>
      </c>
      <c r="V177" t="s">
        <v>58</v>
      </c>
      <c r="W177" t="s">
        <v>188</v>
      </c>
      <c r="X177" t="s">
        <v>189</v>
      </c>
      <c r="Y177" t="s">
        <v>61</v>
      </c>
      <c r="Z177" t="str">
        <f>IF(COUNTA(A177:Y177)=0,"Blank","")</f>
        <v/>
      </c>
      <c r="AA177" s="4" t="str">
        <f>TEXT(F177,"mmmm")</f>
        <v>November</v>
      </c>
    </row>
    <row r="178" spans="1:27">
      <c r="A178">
        <v>10405</v>
      </c>
      <c r="B178">
        <v>97</v>
      </c>
      <c r="C178">
        <v>93.28</v>
      </c>
      <c r="D178">
        <v>5</v>
      </c>
      <c r="E178" s="1">
        <v>9048.16</v>
      </c>
      <c r="F178" s="3">
        <v>38456</v>
      </c>
      <c r="G178" t="s">
        <v>52</v>
      </c>
      <c r="H178">
        <v>2</v>
      </c>
      <c r="I178">
        <v>4</v>
      </c>
      <c r="J178">
        <v>2005</v>
      </c>
      <c r="K178" t="s">
        <v>0</v>
      </c>
      <c r="L178">
        <v>115</v>
      </c>
      <c r="M178" t="s">
        <v>553</v>
      </c>
      <c r="N178" t="s">
        <v>554</v>
      </c>
      <c r="O178" t="s">
        <v>555</v>
      </c>
      <c r="P178" t="s">
        <v>556</v>
      </c>
      <c r="R178" t="s">
        <v>557</v>
      </c>
      <c r="T178">
        <v>67000</v>
      </c>
      <c r="U178" t="s">
        <v>66</v>
      </c>
      <c r="V178" t="s">
        <v>67</v>
      </c>
      <c r="W178" t="s">
        <v>558</v>
      </c>
      <c r="X178" t="s">
        <v>559</v>
      </c>
      <c r="Y178" t="s">
        <v>176</v>
      </c>
      <c r="Z178" t="str">
        <f>IF(COUNTA(A178:Y178)=0,"Blank","")</f>
        <v/>
      </c>
      <c r="AA178" s="4" t="str">
        <f>TEXT(F178,"mmmm")</f>
        <v>April</v>
      </c>
    </row>
    <row r="179" spans="1:27">
      <c r="A179">
        <v>10109</v>
      </c>
      <c r="B179">
        <v>26</v>
      </c>
      <c r="C179">
        <v>100</v>
      </c>
      <c r="D179">
        <v>4</v>
      </c>
      <c r="E179" s="1">
        <v>4379.18</v>
      </c>
      <c r="F179" s="3">
        <v>37690</v>
      </c>
      <c r="G179" t="s">
        <v>52</v>
      </c>
      <c r="H179">
        <v>1</v>
      </c>
      <c r="I179">
        <v>3</v>
      </c>
      <c r="J179">
        <v>2003</v>
      </c>
      <c r="K179" t="s">
        <v>0</v>
      </c>
      <c r="L179">
        <v>141</v>
      </c>
      <c r="M179" t="s">
        <v>560</v>
      </c>
      <c r="N179" t="s">
        <v>333</v>
      </c>
      <c r="O179">
        <v>2155559857</v>
      </c>
      <c r="P179" t="s">
        <v>334</v>
      </c>
      <c r="R179" t="s">
        <v>240</v>
      </c>
      <c r="S179" t="s">
        <v>167</v>
      </c>
      <c r="T179">
        <v>71270</v>
      </c>
      <c r="U179" t="s">
        <v>1</v>
      </c>
      <c r="V179" t="s">
        <v>58</v>
      </c>
      <c r="W179" t="s">
        <v>149</v>
      </c>
      <c r="X179" t="s">
        <v>335</v>
      </c>
      <c r="Y179" t="s">
        <v>76</v>
      </c>
      <c r="Z179" t="str">
        <f>IF(COUNTA(A179:Y179)=0,"Blank","")</f>
        <v/>
      </c>
      <c r="AA179" s="4" t="str">
        <f>TEXT(F179,"mmmm")</f>
        <v>March</v>
      </c>
    </row>
    <row r="180" spans="1:27">
      <c r="A180">
        <v>10136</v>
      </c>
      <c r="B180">
        <v>25</v>
      </c>
      <c r="C180">
        <v>100</v>
      </c>
      <c r="D180">
        <v>2</v>
      </c>
      <c r="E180" s="1">
        <v>3644.75</v>
      </c>
      <c r="F180" s="3">
        <v>37806</v>
      </c>
      <c r="G180" t="s">
        <v>52</v>
      </c>
      <c r="H180">
        <v>3</v>
      </c>
      <c r="I180">
        <v>7</v>
      </c>
      <c r="J180">
        <v>2003</v>
      </c>
      <c r="K180" t="s">
        <v>0</v>
      </c>
      <c r="L180">
        <v>141</v>
      </c>
      <c r="M180" t="s">
        <v>560</v>
      </c>
      <c r="N180" t="s">
        <v>364</v>
      </c>
      <c r="O180" t="s">
        <v>365</v>
      </c>
      <c r="P180" t="s">
        <v>366</v>
      </c>
      <c r="R180" t="s">
        <v>367</v>
      </c>
      <c r="T180">
        <v>31000</v>
      </c>
      <c r="U180" t="s">
        <v>66</v>
      </c>
      <c r="V180" t="s">
        <v>67</v>
      </c>
      <c r="W180" t="s">
        <v>368</v>
      </c>
      <c r="X180" t="s">
        <v>369</v>
      </c>
      <c r="Y180" t="s">
        <v>76</v>
      </c>
      <c r="Z180" t="str">
        <f>IF(COUNTA(A180:Y180)=0,"Blank","")</f>
        <v/>
      </c>
      <c r="AA180" s="4" t="str">
        <f>TEXT(F180,"mmmm")</f>
        <v>July</v>
      </c>
    </row>
    <row r="181" spans="1:27">
      <c r="A181">
        <v>10148</v>
      </c>
      <c r="B181">
        <v>23</v>
      </c>
      <c r="C181">
        <v>100</v>
      </c>
      <c r="D181">
        <v>13</v>
      </c>
      <c r="E181" s="1">
        <v>2702.04</v>
      </c>
      <c r="F181" s="3">
        <v>37875</v>
      </c>
      <c r="G181" t="s">
        <v>52</v>
      </c>
      <c r="H181">
        <v>3</v>
      </c>
      <c r="I181">
        <v>9</v>
      </c>
      <c r="J181">
        <v>2003</v>
      </c>
      <c r="K181" t="s">
        <v>0</v>
      </c>
      <c r="L181">
        <v>141</v>
      </c>
      <c r="M181" t="s">
        <v>560</v>
      </c>
      <c r="N181" t="s">
        <v>309</v>
      </c>
      <c r="O181" t="s">
        <v>310</v>
      </c>
      <c r="P181" t="s">
        <v>311</v>
      </c>
      <c r="Q181" t="s">
        <v>312</v>
      </c>
      <c r="R181" t="s">
        <v>313</v>
      </c>
      <c r="S181" t="s">
        <v>182</v>
      </c>
      <c r="T181">
        <v>2060</v>
      </c>
      <c r="U181" t="s">
        <v>120</v>
      </c>
      <c r="V181" t="s">
        <v>121</v>
      </c>
      <c r="W181" t="s">
        <v>314</v>
      </c>
      <c r="X181" t="s">
        <v>315</v>
      </c>
      <c r="Y181" t="s">
        <v>61</v>
      </c>
      <c r="Z181" t="str">
        <f>IF(COUNTA(A181:Y181)=0,"Blank","")</f>
        <v/>
      </c>
      <c r="AA181" s="4" t="str">
        <f>TEXT(F181,"mmmm")</f>
        <v>September</v>
      </c>
    </row>
    <row r="182" spans="1:27">
      <c r="A182">
        <v>10161</v>
      </c>
      <c r="B182">
        <v>28</v>
      </c>
      <c r="C182">
        <v>100</v>
      </c>
      <c r="D182">
        <v>12</v>
      </c>
      <c r="E182" s="1">
        <v>3764.88</v>
      </c>
      <c r="F182" s="3">
        <v>37911</v>
      </c>
      <c r="G182" t="s">
        <v>52</v>
      </c>
      <c r="H182">
        <v>4</v>
      </c>
      <c r="I182">
        <v>10</v>
      </c>
      <c r="J182">
        <v>2003</v>
      </c>
      <c r="K182" t="s">
        <v>0</v>
      </c>
      <c r="L182">
        <v>141</v>
      </c>
      <c r="M182" t="s">
        <v>560</v>
      </c>
      <c r="N182" t="s">
        <v>522</v>
      </c>
      <c r="O182" t="s">
        <v>523</v>
      </c>
      <c r="P182" t="s">
        <v>524</v>
      </c>
      <c r="R182" t="s">
        <v>525</v>
      </c>
      <c r="T182">
        <v>8200</v>
      </c>
      <c r="U182" t="s">
        <v>350</v>
      </c>
      <c r="V182" t="s">
        <v>67</v>
      </c>
      <c r="W182" t="s">
        <v>526</v>
      </c>
      <c r="X182" t="s">
        <v>527</v>
      </c>
      <c r="Y182" t="s">
        <v>76</v>
      </c>
      <c r="Z182" t="str">
        <f>IF(COUNTA(A182:Y182)=0,"Blank","")</f>
        <v/>
      </c>
      <c r="AA182" s="4" t="str">
        <f>TEXT(F182,"mmmm")</f>
        <v>October</v>
      </c>
    </row>
    <row r="183" spans="1:27">
      <c r="A183">
        <v>10171</v>
      </c>
      <c r="B183">
        <v>35</v>
      </c>
      <c r="C183">
        <v>100</v>
      </c>
      <c r="D183">
        <v>2</v>
      </c>
      <c r="E183" s="1">
        <v>4508</v>
      </c>
      <c r="F183" s="3">
        <v>37930</v>
      </c>
      <c r="G183" t="s">
        <v>52</v>
      </c>
      <c r="H183">
        <v>4</v>
      </c>
      <c r="I183">
        <v>11</v>
      </c>
      <c r="J183">
        <v>2003</v>
      </c>
      <c r="K183" t="s">
        <v>0</v>
      </c>
      <c r="L183">
        <v>141</v>
      </c>
      <c r="M183" t="s">
        <v>560</v>
      </c>
      <c r="N183" t="s">
        <v>316</v>
      </c>
      <c r="O183" t="s">
        <v>317</v>
      </c>
      <c r="P183" t="s">
        <v>318</v>
      </c>
      <c r="R183" t="s">
        <v>319</v>
      </c>
      <c r="S183" t="s">
        <v>320</v>
      </c>
      <c r="T183" t="s">
        <v>321</v>
      </c>
      <c r="U183" t="s">
        <v>255</v>
      </c>
      <c r="V183" t="s">
        <v>58</v>
      </c>
      <c r="W183" t="s">
        <v>322</v>
      </c>
      <c r="X183" t="s">
        <v>323</v>
      </c>
      <c r="Y183" t="s">
        <v>76</v>
      </c>
      <c r="Z183" t="str">
        <f>IF(COUNTA(A183:Y183)=0,"Blank","")</f>
        <v/>
      </c>
      <c r="AA183" s="4" t="str">
        <f>TEXT(F183,"mmmm")</f>
        <v>November</v>
      </c>
    </row>
    <row r="184" spans="1:27">
      <c r="A184">
        <v>10204</v>
      </c>
      <c r="B184">
        <v>42</v>
      </c>
      <c r="C184">
        <v>100</v>
      </c>
      <c r="D184">
        <v>17</v>
      </c>
      <c r="E184" s="1">
        <v>6182.4</v>
      </c>
      <c r="F184" s="3">
        <v>37957</v>
      </c>
      <c r="G184" t="s">
        <v>52</v>
      </c>
      <c r="H184">
        <v>4</v>
      </c>
      <c r="I184">
        <v>12</v>
      </c>
      <c r="J184">
        <v>2003</v>
      </c>
      <c r="K184" t="s">
        <v>0</v>
      </c>
      <c r="L184">
        <v>141</v>
      </c>
      <c r="M184" t="s">
        <v>560</v>
      </c>
      <c r="N184" t="s">
        <v>499</v>
      </c>
      <c r="O184">
        <v>2125557413</v>
      </c>
      <c r="P184" t="s">
        <v>500</v>
      </c>
      <c r="Q184" t="s">
        <v>501</v>
      </c>
      <c r="R184" t="s">
        <v>56</v>
      </c>
      <c r="S184" t="s">
        <v>57</v>
      </c>
      <c r="T184">
        <v>10022</v>
      </c>
      <c r="U184" t="s">
        <v>1</v>
      </c>
      <c r="V184" t="s">
        <v>58</v>
      </c>
      <c r="W184" t="s">
        <v>81</v>
      </c>
      <c r="X184" t="s">
        <v>502</v>
      </c>
      <c r="Y184" t="s">
        <v>76</v>
      </c>
      <c r="Z184" t="str">
        <f>IF(COUNTA(A184:Y184)=0,"Blank","")</f>
        <v/>
      </c>
      <c r="AA184" s="4" t="str">
        <f>TEXT(F184,"mmmm")</f>
        <v>December</v>
      </c>
    </row>
    <row r="185" spans="1:27">
      <c r="A185">
        <v>10240</v>
      </c>
      <c r="B185">
        <v>41</v>
      </c>
      <c r="C185">
        <v>100</v>
      </c>
      <c r="D185">
        <v>3</v>
      </c>
      <c r="E185" s="1">
        <v>5628.89</v>
      </c>
      <c r="F185" s="3">
        <v>38090</v>
      </c>
      <c r="G185" t="s">
        <v>52</v>
      </c>
      <c r="H185">
        <v>2</v>
      </c>
      <c r="I185">
        <v>4</v>
      </c>
      <c r="J185">
        <v>2004</v>
      </c>
      <c r="K185" t="s">
        <v>0</v>
      </c>
      <c r="L185">
        <v>141</v>
      </c>
      <c r="M185" t="s">
        <v>560</v>
      </c>
      <c r="N185" t="s">
        <v>326</v>
      </c>
      <c r="O185" t="s">
        <v>327</v>
      </c>
      <c r="P185" t="s">
        <v>328</v>
      </c>
      <c r="R185" t="s">
        <v>329</v>
      </c>
      <c r="S185" t="s">
        <v>329</v>
      </c>
      <c r="T185" t="s">
        <v>330</v>
      </c>
      <c r="U185" t="s">
        <v>224</v>
      </c>
      <c r="V185" t="s">
        <v>224</v>
      </c>
      <c r="W185" t="s">
        <v>331</v>
      </c>
      <c r="X185" t="s">
        <v>332</v>
      </c>
      <c r="Y185" t="s">
        <v>76</v>
      </c>
      <c r="Z185" t="str">
        <f>IF(COUNTA(A185:Y185)=0,"Blank","")</f>
        <v/>
      </c>
      <c r="AA185" s="4" t="str">
        <f>TEXT(F185,"mmmm")</f>
        <v>April</v>
      </c>
    </row>
    <row r="186" spans="1:27">
      <c r="A186">
        <v>10278</v>
      </c>
      <c r="B186">
        <v>34</v>
      </c>
      <c r="C186">
        <v>100</v>
      </c>
      <c r="D186">
        <v>6</v>
      </c>
      <c r="E186" s="1">
        <v>4667.8599999999997</v>
      </c>
      <c r="F186" s="3">
        <v>38205</v>
      </c>
      <c r="G186" t="s">
        <v>52</v>
      </c>
      <c r="H186">
        <v>3</v>
      </c>
      <c r="I186">
        <v>8</v>
      </c>
      <c r="J186">
        <v>2004</v>
      </c>
      <c r="K186" t="s">
        <v>0</v>
      </c>
      <c r="L186">
        <v>141</v>
      </c>
      <c r="M186" t="s">
        <v>560</v>
      </c>
      <c r="N186" t="s">
        <v>561</v>
      </c>
      <c r="O186">
        <v>7025551838</v>
      </c>
      <c r="P186" t="s">
        <v>562</v>
      </c>
      <c r="R186" t="s">
        <v>563</v>
      </c>
      <c r="S186" t="s">
        <v>564</v>
      </c>
      <c r="T186">
        <v>83030</v>
      </c>
      <c r="U186" t="s">
        <v>1</v>
      </c>
      <c r="V186" t="s">
        <v>58</v>
      </c>
      <c r="W186" t="s">
        <v>138</v>
      </c>
      <c r="X186" t="s">
        <v>424</v>
      </c>
      <c r="Y186" t="s">
        <v>76</v>
      </c>
      <c r="Z186" t="str">
        <f>IF(COUNTA(A186:Y186)=0,"Blank","")</f>
        <v/>
      </c>
      <c r="AA186" s="4" t="str">
        <f>TEXT(F186,"mmmm")</f>
        <v>August</v>
      </c>
    </row>
    <row r="187" spans="1:27">
      <c r="A187">
        <v>10301</v>
      </c>
      <c r="B187">
        <v>37</v>
      </c>
      <c r="C187">
        <v>100</v>
      </c>
      <c r="D187">
        <v>8</v>
      </c>
      <c r="E187" s="1">
        <v>5917.78</v>
      </c>
      <c r="F187" s="3">
        <v>37899</v>
      </c>
      <c r="G187" t="s">
        <v>52</v>
      </c>
      <c r="H187">
        <v>4</v>
      </c>
      <c r="I187">
        <v>10</v>
      </c>
      <c r="J187">
        <v>2003</v>
      </c>
      <c r="K187" t="s">
        <v>0</v>
      </c>
      <c r="L187">
        <v>141</v>
      </c>
      <c r="M187" t="s">
        <v>560</v>
      </c>
      <c r="N187" t="s">
        <v>565</v>
      </c>
      <c r="O187" t="s">
        <v>566</v>
      </c>
      <c r="P187" t="s">
        <v>567</v>
      </c>
      <c r="R187" t="s">
        <v>568</v>
      </c>
      <c r="T187" t="s">
        <v>569</v>
      </c>
      <c r="U187" t="s">
        <v>103</v>
      </c>
      <c r="V187" t="s">
        <v>67</v>
      </c>
      <c r="W187" t="s">
        <v>570</v>
      </c>
      <c r="X187" t="s">
        <v>571</v>
      </c>
      <c r="Y187" t="s">
        <v>76</v>
      </c>
      <c r="Z187" t="str">
        <f>IF(COUNTA(A187:Y187)=0,"Blank","")</f>
        <v/>
      </c>
      <c r="AA187" s="4" t="str">
        <f>TEXT(F187,"mmmm")</f>
        <v>October</v>
      </c>
    </row>
    <row r="188" spans="1:27">
      <c r="A188">
        <v>10331</v>
      </c>
      <c r="B188">
        <v>46</v>
      </c>
      <c r="C188">
        <v>100</v>
      </c>
      <c r="D188">
        <v>6</v>
      </c>
      <c r="E188" s="1">
        <v>6434.02</v>
      </c>
      <c r="F188" s="3">
        <v>38308</v>
      </c>
      <c r="G188" t="s">
        <v>52</v>
      </c>
      <c r="H188">
        <v>4</v>
      </c>
      <c r="I188">
        <v>11</v>
      </c>
      <c r="J188">
        <v>2004</v>
      </c>
      <c r="K188" t="s">
        <v>0</v>
      </c>
      <c r="L188">
        <v>141</v>
      </c>
      <c r="M188" t="s">
        <v>560</v>
      </c>
      <c r="N188" t="s">
        <v>333</v>
      </c>
      <c r="O188">
        <v>2155559857</v>
      </c>
      <c r="P188" t="s">
        <v>334</v>
      </c>
      <c r="R188" t="s">
        <v>240</v>
      </c>
      <c r="S188" t="s">
        <v>167</v>
      </c>
      <c r="T188">
        <v>71270</v>
      </c>
      <c r="U188" t="s">
        <v>1</v>
      </c>
      <c r="V188" t="s">
        <v>58</v>
      </c>
      <c r="W188" t="s">
        <v>149</v>
      </c>
      <c r="X188" t="s">
        <v>335</v>
      </c>
      <c r="Y188" t="s">
        <v>76</v>
      </c>
      <c r="Z188" t="str">
        <f>IF(COUNTA(A188:Y188)=0,"Blank","")</f>
        <v/>
      </c>
      <c r="AA188" s="4" t="str">
        <f>TEXT(F188,"mmmm")</f>
        <v>November</v>
      </c>
    </row>
    <row r="189" spans="1:27">
      <c r="A189">
        <v>10342</v>
      </c>
      <c r="B189">
        <v>40</v>
      </c>
      <c r="C189">
        <v>100</v>
      </c>
      <c r="D189">
        <v>2</v>
      </c>
      <c r="E189" s="1">
        <v>6454.4</v>
      </c>
      <c r="F189" s="3">
        <v>38315</v>
      </c>
      <c r="G189" t="s">
        <v>52</v>
      </c>
      <c r="H189">
        <v>4</v>
      </c>
      <c r="I189">
        <v>11</v>
      </c>
      <c r="J189">
        <v>2004</v>
      </c>
      <c r="K189" t="s">
        <v>0</v>
      </c>
      <c r="L189">
        <v>141</v>
      </c>
      <c r="M189" t="s">
        <v>560</v>
      </c>
      <c r="N189" t="s">
        <v>114</v>
      </c>
      <c r="O189" t="s">
        <v>115</v>
      </c>
      <c r="P189" t="s">
        <v>116</v>
      </c>
      <c r="Q189" t="s">
        <v>117</v>
      </c>
      <c r="R189" t="s">
        <v>118</v>
      </c>
      <c r="S189" t="s">
        <v>119</v>
      </c>
      <c r="T189">
        <v>3004</v>
      </c>
      <c r="U189" t="s">
        <v>120</v>
      </c>
      <c r="V189" t="s">
        <v>121</v>
      </c>
      <c r="W189" t="s">
        <v>122</v>
      </c>
      <c r="X189" t="s">
        <v>123</v>
      </c>
      <c r="Y189" t="s">
        <v>76</v>
      </c>
      <c r="Z189" t="str">
        <f>IF(COUNTA(A189:Y189)=0,"Blank","")</f>
        <v/>
      </c>
      <c r="AA189" s="4" t="str">
        <f>TEXT(F189,"mmmm")</f>
        <v>November</v>
      </c>
    </row>
    <row r="190" spans="1:27">
      <c r="A190">
        <v>10356</v>
      </c>
      <c r="B190">
        <v>43</v>
      </c>
      <c r="C190">
        <v>97.6</v>
      </c>
      <c r="D190">
        <v>8</v>
      </c>
      <c r="E190" s="1">
        <v>4196.8</v>
      </c>
      <c r="F190" s="3">
        <v>38330</v>
      </c>
      <c r="G190" t="s">
        <v>52</v>
      </c>
      <c r="H190">
        <v>4</v>
      </c>
      <c r="I190">
        <v>12</v>
      </c>
      <c r="J190">
        <v>2004</v>
      </c>
      <c r="K190" t="s">
        <v>0</v>
      </c>
      <c r="L190">
        <v>141</v>
      </c>
      <c r="M190" t="s">
        <v>560</v>
      </c>
      <c r="N190" t="s">
        <v>70</v>
      </c>
      <c r="O190" t="s">
        <v>71</v>
      </c>
      <c r="P190" t="s">
        <v>72</v>
      </c>
      <c r="R190" t="s">
        <v>73</v>
      </c>
      <c r="T190">
        <v>75508</v>
      </c>
      <c r="U190" t="s">
        <v>66</v>
      </c>
      <c r="V190" t="s">
        <v>67</v>
      </c>
      <c r="W190" t="s">
        <v>74</v>
      </c>
      <c r="X190" t="s">
        <v>75</v>
      </c>
      <c r="Y190" t="s">
        <v>76</v>
      </c>
      <c r="Z190" t="str">
        <f>IF(COUNTA(A190:Y190)=0,"Blank","")</f>
        <v/>
      </c>
      <c r="AA190" s="4" t="str">
        <f>TEXT(F190,"mmmm")</f>
        <v>December</v>
      </c>
    </row>
    <row r="191" spans="1:27">
      <c r="A191">
        <v>10365</v>
      </c>
      <c r="B191">
        <v>30</v>
      </c>
      <c r="C191">
        <v>87.06</v>
      </c>
      <c r="D191">
        <v>1</v>
      </c>
      <c r="E191" s="1">
        <v>2611.8000000000002</v>
      </c>
      <c r="F191" s="3">
        <v>38359</v>
      </c>
      <c r="G191" t="s">
        <v>52</v>
      </c>
      <c r="H191">
        <v>1</v>
      </c>
      <c r="I191">
        <v>1</v>
      </c>
      <c r="J191">
        <v>2005</v>
      </c>
      <c r="K191" t="s">
        <v>0</v>
      </c>
      <c r="L191">
        <v>141</v>
      </c>
      <c r="M191" t="s">
        <v>560</v>
      </c>
      <c r="N191" t="s">
        <v>359</v>
      </c>
      <c r="O191">
        <v>5085559555</v>
      </c>
      <c r="P191" t="s">
        <v>360</v>
      </c>
      <c r="R191" t="s">
        <v>187</v>
      </c>
      <c r="S191" t="s">
        <v>148</v>
      </c>
      <c r="T191">
        <v>50553</v>
      </c>
      <c r="U191" t="s">
        <v>1</v>
      </c>
      <c r="V191" t="s">
        <v>58</v>
      </c>
      <c r="W191" t="s">
        <v>361</v>
      </c>
      <c r="X191" t="s">
        <v>362</v>
      </c>
      <c r="Y191" t="s">
        <v>61</v>
      </c>
      <c r="Z191" t="str">
        <f>IF(COUNTA(A191:Y191)=0,"Blank","")</f>
        <v/>
      </c>
      <c r="AA191" s="4" t="str">
        <f>TEXT(F191,"mmmm")</f>
        <v>January</v>
      </c>
    </row>
    <row r="192" spans="1:27">
      <c r="A192">
        <v>10390</v>
      </c>
      <c r="B192">
        <v>36</v>
      </c>
      <c r="C192">
        <v>93.77</v>
      </c>
      <c r="D192">
        <v>14</v>
      </c>
      <c r="E192" s="1">
        <v>3375.72</v>
      </c>
      <c r="F192" s="3">
        <v>38415</v>
      </c>
      <c r="G192" t="s">
        <v>52</v>
      </c>
      <c r="H192">
        <v>1</v>
      </c>
      <c r="I192">
        <v>3</v>
      </c>
      <c r="J192">
        <v>2005</v>
      </c>
      <c r="K192" t="s">
        <v>0</v>
      </c>
      <c r="L192">
        <v>141</v>
      </c>
      <c r="M192" t="s">
        <v>560</v>
      </c>
      <c r="N192" t="s">
        <v>296</v>
      </c>
      <c r="O192">
        <v>4155551450</v>
      </c>
      <c r="P192" t="s">
        <v>297</v>
      </c>
      <c r="R192" t="s">
        <v>298</v>
      </c>
      <c r="S192" t="s">
        <v>80</v>
      </c>
      <c r="T192">
        <v>97562</v>
      </c>
      <c r="U192" t="s">
        <v>1</v>
      </c>
      <c r="V192" t="s">
        <v>58</v>
      </c>
      <c r="W192" t="s">
        <v>299</v>
      </c>
      <c r="X192" t="s">
        <v>300</v>
      </c>
      <c r="Y192" t="s">
        <v>76</v>
      </c>
      <c r="Z192" t="str">
        <f>IF(COUNTA(A192:Y192)=0,"Blank","")</f>
        <v/>
      </c>
      <c r="AA192" s="4" t="str">
        <f>TEXT(F192,"mmmm")</f>
        <v>March</v>
      </c>
    </row>
    <row r="193" spans="1:27">
      <c r="A193">
        <v>10406</v>
      </c>
      <c r="B193">
        <v>61</v>
      </c>
      <c r="C193">
        <v>100</v>
      </c>
      <c r="D193">
        <v>3</v>
      </c>
      <c r="E193" s="1">
        <v>8374.69</v>
      </c>
      <c r="F193" s="3">
        <v>38457</v>
      </c>
      <c r="G193" t="s">
        <v>198</v>
      </c>
      <c r="H193">
        <v>2</v>
      </c>
      <c r="I193">
        <v>4</v>
      </c>
      <c r="J193">
        <v>2005</v>
      </c>
      <c r="K193" t="s">
        <v>0</v>
      </c>
      <c r="L193">
        <v>141</v>
      </c>
      <c r="M193" t="s">
        <v>560</v>
      </c>
      <c r="N193" t="s">
        <v>346</v>
      </c>
      <c r="O193" t="s">
        <v>347</v>
      </c>
      <c r="P193" t="s">
        <v>348</v>
      </c>
      <c r="R193" t="s">
        <v>349</v>
      </c>
      <c r="T193">
        <v>1734</v>
      </c>
      <c r="U193" t="s">
        <v>350</v>
      </c>
      <c r="V193" t="s">
        <v>67</v>
      </c>
      <c r="W193" t="s">
        <v>351</v>
      </c>
      <c r="X193" t="s">
        <v>352</v>
      </c>
      <c r="Y193" t="s">
        <v>176</v>
      </c>
      <c r="Z193" t="str">
        <f>IF(COUNTA(A193:Y193)=0,"Blank","")</f>
        <v/>
      </c>
      <c r="AA193" s="4" t="str">
        <f>TEXT(F193,"mmmm")</f>
        <v>April</v>
      </c>
    </row>
    <row r="194" spans="1:27">
      <c r="A194">
        <v>10102</v>
      </c>
      <c r="B194">
        <v>39</v>
      </c>
      <c r="C194">
        <v>100</v>
      </c>
      <c r="D194">
        <v>2</v>
      </c>
      <c r="E194" s="1">
        <v>4808.3100000000004</v>
      </c>
      <c r="F194" s="3">
        <v>37631</v>
      </c>
      <c r="G194" t="s">
        <v>52</v>
      </c>
      <c r="H194">
        <v>1</v>
      </c>
      <c r="I194">
        <v>1</v>
      </c>
      <c r="J194">
        <v>2003</v>
      </c>
      <c r="K194" t="s">
        <v>12</v>
      </c>
      <c r="L194">
        <v>102</v>
      </c>
      <c r="M194" t="s">
        <v>572</v>
      </c>
      <c r="N194" t="s">
        <v>124</v>
      </c>
      <c r="O194">
        <v>2125551500</v>
      </c>
      <c r="P194" t="s">
        <v>125</v>
      </c>
      <c r="Q194" t="s">
        <v>126</v>
      </c>
      <c r="R194" t="s">
        <v>56</v>
      </c>
      <c r="S194" t="s">
        <v>57</v>
      </c>
      <c r="T194">
        <v>10022</v>
      </c>
      <c r="U194" t="s">
        <v>1</v>
      </c>
      <c r="V194" t="s">
        <v>58</v>
      </c>
      <c r="W194" t="s">
        <v>127</v>
      </c>
      <c r="X194" t="s">
        <v>128</v>
      </c>
      <c r="Y194" t="s">
        <v>76</v>
      </c>
      <c r="Z194" t="str">
        <f>IF(COUNTA(A194:Y194)=0,"Blank","")</f>
        <v/>
      </c>
      <c r="AA194" s="4" t="str">
        <f>TEXT(F194,"mmmm")</f>
        <v>January</v>
      </c>
    </row>
    <row r="195" spans="1:27">
      <c r="A195">
        <v>10111</v>
      </c>
      <c r="B195">
        <v>33</v>
      </c>
      <c r="C195">
        <v>99.66</v>
      </c>
      <c r="D195">
        <v>6</v>
      </c>
      <c r="E195" s="1">
        <v>3288.78</v>
      </c>
      <c r="F195" s="3">
        <v>37705</v>
      </c>
      <c r="G195" t="s">
        <v>52</v>
      </c>
      <c r="H195">
        <v>1</v>
      </c>
      <c r="I195">
        <v>3</v>
      </c>
      <c r="J195">
        <v>2003</v>
      </c>
      <c r="K195" t="s">
        <v>12</v>
      </c>
      <c r="L195">
        <v>102</v>
      </c>
      <c r="M195" t="s">
        <v>572</v>
      </c>
      <c r="N195" t="s">
        <v>106</v>
      </c>
      <c r="O195">
        <v>6505555787</v>
      </c>
      <c r="P195" t="s">
        <v>107</v>
      </c>
      <c r="R195" t="s">
        <v>85</v>
      </c>
      <c r="S195" t="s">
        <v>80</v>
      </c>
      <c r="U195" t="s">
        <v>1</v>
      </c>
      <c r="V195" t="s">
        <v>58</v>
      </c>
      <c r="W195" t="s">
        <v>108</v>
      </c>
      <c r="X195" t="s">
        <v>82</v>
      </c>
      <c r="Y195" t="s">
        <v>76</v>
      </c>
      <c r="Z195" t="str">
        <f>IF(COUNTA(A195:Y195)=0,"Blank","")</f>
        <v/>
      </c>
      <c r="AA195" s="4" t="str">
        <f>TEXT(F195,"mmmm")</f>
        <v>March</v>
      </c>
    </row>
    <row r="196" spans="1:27">
      <c r="A196">
        <v>10125</v>
      </c>
      <c r="B196">
        <v>32</v>
      </c>
      <c r="C196">
        <v>100</v>
      </c>
      <c r="D196">
        <v>1</v>
      </c>
      <c r="E196" s="1">
        <v>3254.72</v>
      </c>
      <c r="F196" s="3">
        <v>37762</v>
      </c>
      <c r="G196" t="s">
        <v>52</v>
      </c>
      <c r="H196">
        <v>2</v>
      </c>
      <c r="I196">
        <v>5</v>
      </c>
      <c r="J196">
        <v>2003</v>
      </c>
      <c r="K196" t="s">
        <v>12</v>
      </c>
      <c r="L196">
        <v>102</v>
      </c>
      <c r="M196" t="s">
        <v>572</v>
      </c>
      <c r="N196" t="s">
        <v>114</v>
      </c>
      <c r="O196" t="s">
        <v>115</v>
      </c>
      <c r="P196" t="s">
        <v>116</v>
      </c>
      <c r="Q196" t="s">
        <v>117</v>
      </c>
      <c r="R196" t="s">
        <v>118</v>
      </c>
      <c r="S196" t="s">
        <v>119</v>
      </c>
      <c r="T196">
        <v>3004</v>
      </c>
      <c r="U196" t="s">
        <v>120</v>
      </c>
      <c r="V196" t="s">
        <v>121</v>
      </c>
      <c r="W196" t="s">
        <v>122</v>
      </c>
      <c r="X196" t="s">
        <v>123</v>
      </c>
      <c r="Y196" t="s">
        <v>76</v>
      </c>
      <c r="Z196" t="str">
        <f>IF(COUNTA(A196:Y196)=0,"Blank","")</f>
        <v/>
      </c>
      <c r="AA196" s="4" t="str">
        <f>TEXT(F196,"mmmm")</f>
        <v>May</v>
      </c>
    </row>
    <row r="197" spans="1:27">
      <c r="A197">
        <v>10139</v>
      </c>
      <c r="B197">
        <v>31</v>
      </c>
      <c r="C197">
        <v>100</v>
      </c>
      <c r="D197">
        <v>7</v>
      </c>
      <c r="E197" s="1">
        <v>3184.94</v>
      </c>
      <c r="F197" s="3">
        <v>37818</v>
      </c>
      <c r="G197" t="s">
        <v>52</v>
      </c>
      <c r="H197">
        <v>3</v>
      </c>
      <c r="I197">
        <v>7</v>
      </c>
      <c r="J197">
        <v>2003</v>
      </c>
      <c r="K197" t="s">
        <v>12</v>
      </c>
      <c r="L197">
        <v>102</v>
      </c>
      <c r="M197" t="s">
        <v>572</v>
      </c>
      <c r="N197" t="s">
        <v>177</v>
      </c>
      <c r="O197" t="s">
        <v>178</v>
      </c>
      <c r="P197" t="s">
        <v>179</v>
      </c>
      <c r="Q197" t="s">
        <v>180</v>
      </c>
      <c r="R197" t="s">
        <v>181</v>
      </c>
      <c r="S197" t="s">
        <v>182</v>
      </c>
      <c r="T197">
        <v>2067</v>
      </c>
      <c r="U197" t="s">
        <v>120</v>
      </c>
      <c r="V197" t="s">
        <v>121</v>
      </c>
      <c r="W197" t="s">
        <v>183</v>
      </c>
      <c r="X197" t="s">
        <v>184</v>
      </c>
      <c r="Y197" t="s">
        <v>76</v>
      </c>
      <c r="Z197" t="str">
        <f>IF(COUNTA(A197:Y197)=0,"Blank","")</f>
        <v/>
      </c>
      <c r="AA197" s="4" t="str">
        <f>TEXT(F197,"mmmm")</f>
        <v>July</v>
      </c>
    </row>
    <row r="198" spans="1:27">
      <c r="A198">
        <v>10149</v>
      </c>
      <c r="B198">
        <v>50</v>
      </c>
      <c r="C198">
        <v>100</v>
      </c>
      <c r="D198">
        <v>4</v>
      </c>
      <c r="E198" s="1">
        <v>5907.5</v>
      </c>
      <c r="F198" s="3">
        <v>37876</v>
      </c>
      <c r="G198" t="s">
        <v>52</v>
      </c>
      <c r="H198">
        <v>3</v>
      </c>
      <c r="I198">
        <v>9</v>
      </c>
      <c r="J198">
        <v>2003</v>
      </c>
      <c r="K198" t="s">
        <v>12</v>
      </c>
      <c r="L198">
        <v>102</v>
      </c>
      <c r="M198" t="s">
        <v>572</v>
      </c>
      <c r="N198" t="s">
        <v>549</v>
      </c>
      <c r="O198">
        <v>4155554312</v>
      </c>
      <c r="P198" t="s">
        <v>550</v>
      </c>
      <c r="R198" t="s">
        <v>551</v>
      </c>
      <c r="S198" t="s">
        <v>80</v>
      </c>
      <c r="T198">
        <v>94217</v>
      </c>
      <c r="U198" t="s">
        <v>1</v>
      </c>
      <c r="V198" t="s">
        <v>58</v>
      </c>
      <c r="W198" t="s">
        <v>552</v>
      </c>
      <c r="X198" t="s">
        <v>424</v>
      </c>
      <c r="Y198" t="s">
        <v>76</v>
      </c>
      <c r="Z198" t="str">
        <f>IF(COUNTA(A198:Y198)=0,"Blank","")</f>
        <v/>
      </c>
      <c r="AA198" s="4" t="str">
        <f>TEXT(F198,"mmmm")</f>
        <v>September</v>
      </c>
    </row>
    <row r="199" spans="1:27">
      <c r="A199">
        <v>10162</v>
      </c>
      <c r="B199">
        <v>48</v>
      </c>
      <c r="C199">
        <v>91.44</v>
      </c>
      <c r="D199">
        <v>2</v>
      </c>
      <c r="E199" s="1">
        <v>4389.12</v>
      </c>
      <c r="F199" s="3">
        <v>37912</v>
      </c>
      <c r="G199" t="s">
        <v>52</v>
      </c>
      <c r="H199">
        <v>4</v>
      </c>
      <c r="I199">
        <v>10</v>
      </c>
      <c r="J199">
        <v>2003</v>
      </c>
      <c r="K199" t="s">
        <v>12</v>
      </c>
      <c r="L199">
        <v>102</v>
      </c>
      <c r="M199" t="s">
        <v>572</v>
      </c>
      <c r="N199" t="s">
        <v>83</v>
      </c>
      <c r="O199">
        <v>6505551386</v>
      </c>
      <c r="P199" t="s">
        <v>84</v>
      </c>
      <c r="R199" t="s">
        <v>85</v>
      </c>
      <c r="S199" t="s">
        <v>80</v>
      </c>
      <c r="U199" t="s">
        <v>1</v>
      </c>
      <c r="V199" t="s">
        <v>58</v>
      </c>
      <c r="W199" t="s">
        <v>86</v>
      </c>
      <c r="X199" t="s">
        <v>82</v>
      </c>
      <c r="Y199" t="s">
        <v>76</v>
      </c>
      <c r="Z199" t="str">
        <f>IF(COUNTA(A199:Y199)=0,"Blank","")</f>
        <v/>
      </c>
      <c r="AA199" s="4" t="str">
        <f>TEXT(F199,"mmmm")</f>
        <v>October</v>
      </c>
    </row>
    <row r="200" spans="1:27">
      <c r="A200">
        <v>10173</v>
      </c>
      <c r="B200">
        <v>43</v>
      </c>
      <c r="C200">
        <v>100</v>
      </c>
      <c r="D200">
        <v>6</v>
      </c>
      <c r="E200" s="1">
        <v>5036.16</v>
      </c>
      <c r="F200" s="3">
        <v>37930</v>
      </c>
      <c r="G200" t="s">
        <v>52</v>
      </c>
      <c r="H200">
        <v>4</v>
      </c>
      <c r="I200">
        <v>11</v>
      </c>
      <c r="J200">
        <v>2003</v>
      </c>
      <c r="K200" t="s">
        <v>12</v>
      </c>
      <c r="L200">
        <v>102</v>
      </c>
      <c r="M200" t="s">
        <v>572</v>
      </c>
      <c r="N200" t="s">
        <v>573</v>
      </c>
      <c r="O200" t="s">
        <v>574</v>
      </c>
      <c r="P200" t="s">
        <v>575</v>
      </c>
      <c r="R200" t="s">
        <v>576</v>
      </c>
      <c r="T200">
        <v>24100</v>
      </c>
      <c r="U200" t="s">
        <v>282</v>
      </c>
      <c r="V200" t="s">
        <v>67</v>
      </c>
      <c r="W200" t="s">
        <v>577</v>
      </c>
      <c r="X200" t="s">
        <v>578</v>
      </c>
      <c r="Y200" t="s">
        <v>76</v>
      </c>
      <c r="Z200" t="str">
        <f>IF(COUNTA(A200:Y200)=0,"Blank","")</f>
        <v/>
      </c>
      <c r="AA200" s="4" t="str">
        <f>TEXT(F200,"mmmm")</f>
        <v>November</v>
      </c>
    </row>
    <row r="201" spans="1:27">
      <c r="A201">
        <v>10182</v>
      </c>
      <c r="B201">
        <v>25</v>
      </c>
      <c r="C201">
        <v>87.33</v>
      </c>
      <c r="D201">
        <v>3</v>
      </c>
      <c r="E201" s="1">
        <v>2183.25</v>
      </c>
      <c r="F201" s="3">
        <v>37937</v>
      </c>
      <c r="G201" t="s">
        <v>52</v>
      </c>
      <c r="H201">
        <v>4</v>
      </c>
      <c r="I201">
        <v>11</v>
      </c>
      <c r="J201">
        <v>2003</v>
      </c>
      <c r="K201" t="s">
        <v>12</v>
      </c>
      <c r="L201">
        <v>102</v>
      </c>
      <c r="M201" t="s">
        <v>572</v>
      </c>
      <c r="N201" t="s">
        <v>296</v>
      </c>
      <c r="O201">
        <v>4155551450</v>
      </c>
      <c r="P201" t="s">
        <v>297</v>
      </c>
      <c r="R201" t="s">
        <v>298</v>
      </c>
      <c r="S201" t="s">
        <v>80</v>
      </c>
      <c r="T201">
        <v>97562</v>
      </c>
      <c r="U201" t="s">
        <v>1</v>
      </c>
      <c r="V201" t="s">
        <v>58</v>
      </c>
      <c r="W201" t="s">
        <v>299</v>
      </c>
      <c r="X201" t="s">
        <v>300</v>
      </c>
      <c r="Y201" t="s">
        <v>61</v>
      </c>
      <c r="Z201" t="str">
        <f>IF(COUNTA(A201:Y201)=0,"Blank","")</f>
        <v/>
      </c>
      <c r="AA201" s="4" t="str">
        <f>TEXT(F201,"mmmm")</f>
        <v>November</v>
      </c>
    </row>
    <row r="202" spans="1:27">
      <c r="A202">
        <v>10193</v>
      </c>
      <c r="B202">
        <v>28</v>
      </c>
      <c r="C202">
        <v>100</v>
      </c>
      <c r="D202">
        <v>7</v>
      </c>
      <c r="E202" s="1">
        <v>3106.88</v>
      </c>
      <c r="F202" s="3">
        <v>37946</v>
      </c>
      <c r="G202" t="s">
        <v>52</v>
      </c>
      <c r="H202">
        <v>4</v>
      </c>
      <c r="I202">
        <v>11</v>
      </c>
      <c r="J202">
        <v>2003</v>
      </c>
      <c r="K202" t="s">
        <v>12</v>
      </c>
      <c r="L202">
        <v>102</v>
      </c>
      <c r="M202" t="s">
        <v>572</v>
      </c>
      <c r="N202" t="s">
        <v>579</v>
      </c>
      <c r="O202" t="s">
        <v>580</v>
      </c>
      <c r="P202" t="s">
        <v>581</v>
      </c>
      <c r="R202" t="s">
        <v>582</v>
      </c>
      <c r="S202" t="s">
        <v>119</v>
      </c>
      <c r="T202">
        <v>3150</v>
      </c>
      <c r="U202" t="s">
        <v>120</v>
      </c>
      <c r="V202" t="s">
        <v>121</v>
      </c>
      <c r="W202" t="s">
        <v>583</v>
      </c>
      <c r="X202" t="s">
        <v>584</v>
      </c>
      <c r="Y202" t="s">
        <v>76</v>
      </c>
      <c r="Z202" t="str">
        <f>IF(COUNTA(A202:Y202)=0,"Blank","")</f>
        <v/>
      </c>
      <c r="AA202" s="4" t="str">
        <f>TEXT(F202,"mmmm")</f>
        <v>November</v>
      </c>
    </row>
    <row r="203" spans="1:27">
      <c r="A203">
        <v>10205</v>
      </c>
      <c r="B203">
        <v>36</v>
      </c>
      <c r="C203">
        <v>100</v>
      </c>
      <c r="D203">
        <v>2</v>
      </c>
      <c r="E203" s="1">
        <v>3735.72</v>
      </c>
      <c r="F203" s="3">
        <v>37958</v>
      </c>
      <c r="G203" t="s">
        <v>52</v>
      </c>
      <c r="H203">
        <v>4</v>
      </c>
      <c r="I203">
        <v>12</v>
      </c>
      <c r="J203">
        <v>2003</v>
      </c>
      <c r="K203" t="s">
        <v>12</v>
      </c>
      <c r="L203">
        <v>102</v>
      </c>
      <c r="M203" t="s">
        <v>572</v>
      </c>
      <c r="N203" t="s">
        <v>199</v>
      </c>
      <c r="O203" t="s">
        <v>200</v>
      </c>
      <c r="P203" t="s">
        <v>201</v>
      </c>
      <c r="R203" t="s">
        <v>202</v>
      </c>
      <c r="T203">
        <v>28034</v>
      </c>
      <c r="U203" t="s">
        <v>203</v>
      </c>
      <c r="V203" t="s">
        <v>67</v>
      </c>
      <c r="W203" t="s">
        <v>204</v>
      </c>
      <c r="X203" t="s">
        <v>205</v>
      </c>
      <c r="Y203" t="s">
        <v>76</v>
      </c>
      <c r="Z203" t="str">
        <f>IF(COUNTA(A203:Y203)=0,"Blank","")</f>
        <v/>
      </c>
      <c r="AA203" s="4" t="str">
        <f>TEXT(F203,"mmmm")</f>
        <v>December</v>
      </c>
    </row>
    <row r="204" spans="1:27">
      <c r="A204">
        <v>10227</v>
      </c>
      <c r="B204">
        <v>25</v>
      </c>
      <c r="C204">
        <v>100</v>
      </c>
      <c r="D204">
        <v>3</v>
      </c>
      <c r="E204" s="1">
        <v>2953.75</v>
      </c>
      <c r="F204" s="3">
        <v>38048</v>
      </c>
      <c r="G204" t="s">
        <v>52</v>
      </c>
      <c r="H204">
        <v>1</v>
      </c>
      <c r="I204">
        <v>3</v>
      </c>
      <c r="J204">
        <v>2004</v>
      </c>
      <c r="K204" t="s">
        <v>12</v>
      </c>
      <c r="L204">
        <v>102</v>
      </c>
      <c r="M204" t="s">
        <v>572</v>
      </c>
      <c r="N204" t="s">
        <v>243</v>
      </c>
      <c r="O204" t="s">
        <v>244</v>
      </c>
      <c r="P204" t="s">
        <v>245</v>
      </c>
      <c r="R204" t="s">
        <v>246</v>
      </c>
      <c r="T204">
        <v>69004</v>
      </c>
      <c r="U204" t="s">
        <v>66</v>
      </c>
      <c r="V204" t="s">
        <v>67</v>
      </c>
      <c r="W204" t="s">
        <v>247</v>
      </c>
      <c r="X204" t="s">
        <v>248</v>
      </c>
      <c r="Y204" t="s">
        <v>61</v>
      </c>
      <c r="Z204" t="str">
        <f>IF(COUNTA(A204:Y204)=0,"Blank","")</f>
        <v/>
      </c>
      <c r="AA204" s="4" t="str">
        <f>TEXT(F204,"mmmm")</f>
        <v>March</v>
      </c>
    </row>
    <row r="205" spans="1:27">
      <c r="A205">
        <v>10244</v>
      </c>
      <c r="B205">
        <v>40</v>
      </c>
      <c r="C205">
        <v>100</v>
      </c>
      <c r="D205">
        <v>7</v>
      </c>
      <c r="E205" s="1">
        <v>4684.8</v>
      </c>
      <c r="F205" s="3">
        <v>38106</v>
      </c>
      <c r="G205" t="s">
        <v>52</v>
      </c>
      <c r="H205">
        <v>2</v>
      </c>
      <c r="I205">
        <v>4</v>
      </c>
      <c r="J205">
        <v>2004</v>
      </c>
      <c r="K205" t="s">
        <v>12</v>
      </c>
      <c r="L205">
        <v>102</v>
      </c>
      <c r="M205" t="s">
        <v>572</v>
      </c>
      <c r="N205" t="s">
        <v>199</v>
      </c>
      <c r="O205" t="s">
        <v>200</v>
      </c>
      <c r="P205" t="s">
        <v>201</v>
      </c>
      <c r="R205" t="s">
        <v>202</v>
      </c>
      <c r="T205">
        <v>28034</v>
      </c>
      <c r="U205" t="s">
        <v>203</v>
      </c>
      <c r="V205" t="s">
        <v>67</v>
      </c>
      <c r="W205" t="s">
        <v>204</v>
      </c>
      <c r="X205" t="s">
        <v>205</v>
      </c>
      <c r="Y205" t="s">
        <v>76</v>
      </c>
      <c r="Z205" t="str">
        <f>IF(COUNTA(A205:Y205)=0,"Blank","")</f>
        <v/>
      </c>
      <c r="AA205" s="4" t="str">
        <f>TEXT(F205,"mmmm")</f>
        <v>April</v>
      </c>
    </row>
    <row r="206" spans="1:27">
      <c r="A206">
        <v>10256</v>
      </c>
      <c r="B206">
        <v>34</v>
      </c>
      <c r="C206">
        <v>95.55</v>
      </c>
      <c r="D206">
        <v>2</v>
      </c>
      <c r="E206" s="1">
        <v>3248.7</v>
      </c>
      <c r="F206" s="3">
        <v>38146</v>
      </c>
      <c r="G206" t="s">
        <v>52</v>
      </c>
      <c r="H206">
        <v>2</v>
      </c>
      <c r="I206">
        <v>6</v>
      </c>
      <c r="J206">
        <v>2004</v>
      </c>
      <c r="K206" t="s">
        <v>12</v>
      </c>
      <c r="L206">
        <v>102</v>
      </c>
      <c r="M206" t="s">
        <v>572</v>
      </c>
      <c r="N206" t="s">
        <v>346</v>
      </c>
      <c r="O206" t="s">
        <v>347</v>
      </c>
      <c r="P206" t="s">
        <v>348</v>
      </c>
      <c r="R206" t="s">
        <v>349</v>
      </c>
      <c r="T206">
        <v>1734</v>
      </c>
      <c r="U206" t="s">
        <v>350</v>
      </c>
      <c r="V206" t="s">
        <v>67</v>
      </c>
      <c r="W206" t="s">
        <v>351</v>
      </c>
      <c r="X206" t="s">
        <v>352</v>
      </c>
      <c r="Y206" t="s">
        <v>76</v>
      </c>
      <c r="Z206" t="str">
        <f>IF(COUNTA(A206:Y206)=0,"Blank","")</f>
        <v/>
      </c>
      <c r="AA206" s="4" t="str">
        <f>TEXT(F206,"mmmm")</f>
        <v>June</v>
      </c>
    </row>
    <row r="207" spans="1:27">
      <c r="A207">
        <v>10289</v>
      </c>
      <c r="B207">
        <v>38</v>
      </c>
      <c r="C207">
        <v>100</v>
      </c>
      <c r="D207">
        <v>2</v>
      </c>
      <c r="E207" s="1">
        <v>4567.9799999999996</v>
      </c>
      <c r="F207" s="3">
        <v>38233</v>
      </c>
      <c r="G207" t="s">
        <v>52</v>
      </c>
      <c r="H207">
        <v>3</v>
      </c>
      <c r="I207">
        <v>9</v>
      </c>
      <c r="J207">
        <v>2004</v>
      </c>
      <c r="K207" t="s">
        <v>12</v>
      </c>
      <c r="L207">
        <v>102</v>
      </c>
      <c r="M207" t="s">
        <v>572</v>
      </c>
      <c r="N207" t="s">
        <v>98</v>
      </c>
      <c r="O207" t="s">
        <v>99</v>
      </c>
      <c r="P207" t="s">
        <v>100</v>
      </c>
      <c r="R207" t="s">
        <v>101</v>
      </c>
      <c r="T207" t="s">
        <v>102</v>
      </c>
      <c r="U207" t="s">
        <v>103</v>
      </c>
      <c r="V207" t="s">
        <v>67</v>
      </c>
      <c r="W207" t="s">
        <v>104</v>
      </c>
      <c r="X207" t="s">
        <v>105</v>
      </c>
      <c r="Y207" t="s">
        <v>76</v>
      </c>
      <c r="Z207" t="str">
        <f>IF(COUNTA(A207:Y207)=0,"Blank","")</f>
        <v/>
      </c>
      <c r="AA207" s="4" t="str">
        <f>TEXT(F207,"mmmm")</f>
        <v>September</v>
      </c>
    </row>
    <row r="208" spans="1:27">
      <c r="A208">
        <v>10332</v>
      </c>
      <c r="B208">
        <v>46</v>
      </c>
      <c r="C208">
        <v>95.13</v>
      </c>
      <c r="D208">
        <v>15</v>
      </c>
      <c r="E208" s="1">
        <v>4375.9799999999996</v>
      </c>
      <c r="F208" s="3">
        <v>38308</v>
      </c>
      <c r="G208" t="s">
        <v>52</v>
      </c>
      <c r="H208">
        <v>4</v>
      </c>
      <c r="I208">
        <v>11</v>
      </c>
      <c r="J208">
        <v>2004</v>
      </c>
      <c r="K208" t="s">
        <v>12</v>
      </c>
      <c r="L208">
        <v>102</v>
      </c>
      <c r="M208" t="s">
        <v>572</v>
      </c>
      <c r="N208" t="s">
        <v>516</v>
      </c>
      <c r="O208" t="s">
        <v>517</v>
      </c>
      <c r="P208" t="s">
        <v>518</v>
      </c>
      <c r="R208" t="s">
        <v>519</v>
      </c>
      <c r="T208" t="s">
        <v>520</v>
      </c>
      <c r="U208" t="s">
        <v>195</v>
      </c>
      <c r="V208" t="s">
        <v>67</v>
      </c>
      <c r="W208" t="s">
        <v>521</v>
      </c>
      <c r="X208" t="s">
        <v>119</v>
      </c>
      <c r="Y208" t="s">
        <v>76</v>
      </c>
      <c r="Z208" t="str">
        <f>IF(COUNTA(A208:Y208)=0,"Blank","")</f>
        <v/>
      </c>
      <c r="AA208" s="4" t="str">
        <f>TEXT(F208,"mmmm")</f>
        <v>November</v>
      </c>
    </row>
    <row r="209" spans="1:27">
      <c r="A209">
        <v>10346</v>
      </c>
      <c r="B209">
        <v>42</v>
      </c>
      <c r="C209">
        <v>36.11</v>
      </c>
      <c r="D209">
        <v>3</v>
      </c>
      <c r="E209" s="1">
        <v>1516.62</v>
      </c>
      <c r="F209" s="3">
        <v>38320</v>
      </c>
      <c r="G209" t="s">
        <v>52</v>
      </c>
      <c r="H209">
        <v>4</v>
      </c>
      <c r="I209">
        <v>11</v>
      </c>
      <c r="J209">
        <v>2004</v>
      </c>
      <c r="K209" t="s">
        <v>12</v>
      </c>
      <c r="L209">
        <v>102</v>
      </c>
      <c r="M209" t="s">
        <v>572</v>
      </c>
      <c r="N209" t="s">
        <v>561</v>
      </c>
      <c r="O209">
        <v>7025551838</v>
      </c>
      <c r="P209" t="s">
        <v>562</v>
      </c>
      <c r="R209" t="s">
        <v>563</v>
      </c>
      <c r="S209" t="s">
        <v>564</v>
      </c>
      <c r="T209">
        <v>83030</v>
      </c>
      <c r="U209" t="s">
        <v>1</v>
      </c>
      <c r="V209" t="s">
        <v>58</v>
      </c>
      <c r="W209" t="s">
        <v>138</v>
      </c>
      <c r="X209" t="s">
        <v>424</v>
      </c>
      <c r="Y209" t="s">
        <v>61</v>
      </c>
      <c r="Z209" t="str">
        <f>IF(COUNTA(A209:Y209)=0,"Blank","")</f>
        <v/>
      </c>
      <c r="AA209" s="4" t="str">
        <f>TEXT(F209,"mmmm")</f>
        <v>November</v>
      </c>
    </row>
    <row r="210" spans="1:27">
      <c r="A210">
        <v>10380</v>
      </c>
      <c r="B210">
        <v>27</v>
      </c>
      <c r="C210">
        <v>93.16</v>
      </c>
      <c r="D210">
        <v>13</v>
      </c>
      <c r="E210" s="1">
        <v>2515.3200000000002</v>
      </c>
      <c r="F210" s="3">
        <v>38399</v>
      </c>
      <c r="G210" t="s">
        <v>52</v>
      </c>
      <c r="H210">
        <v>1</v>
      </c>
      <c r="I210">
        <v>2</v>
      </c>
      <c r="J210">
        <v>2005</v>
      </c>
      <c r="K210" t="s">
        <v>12</v>
      </c>
      <c r="L210">
        <v>102</v>
      </c>
      <c r="M210" t="s">
        <v>572</v>
      </c>
      <c r="N210" t="s">
        <v>199</v>
      </c>
      <c r="O210" t="s">
        <v>200</v>
      </c>
      <c r="P210" t="s">
        <v>201</v>
      </c>
      <c r="R210" t="s">
        <v>202</v>
      </c>
      <c r="T210">
        <v>28034</v>
      </c>
      <c r="U210" t="s">
        <v>203</v>
      </c>
      <c r="V210" t="s">
        <v>67</v>
      </c>
      <c r="W210" t="s">
        <v>204</v>
      </c>
      <c r="X210" t="s">
        <v>205</v>
      </c>
      <c r="Y210" t="s">
        <v>61</v>
      </c>
      <c r="Z210" t="str">
        <f>IF(COUNTA(A210:Y210)=0,"Blank","")</f>
        <v/>
      </c>
      <c r="AA210" s="4" t="str">
        <f>TEXT(F210,"mmmm")</f>
        <v>February</v>
      </c>
    </row>
    <row r="211" spans="1:27">
      <c r="A211">
        <v>10422</v>
      </c>
      <c r="B211">
        <v>51</v>
      </c>
      <c r="C211">
        <v>95.55</v>
      </c>
      <c r="D211">
        <v>2</v>
      </c>
      <c r="E211" s="1">
        <v>4873.05</v>
      </c>
      <c r="F211" s="3">
        <v>38502</v>
      </c>
      <c r="G211" t="s">
        <v>324</v>
      </c>
      <c r="H211">
        <v>2</v>
      </c>
      <c r="I211">
        <v>5</v>
      </c>
      <c r="J211">
        <v>2005</v>
      </c>
      <c r="K211" t="s">
        <v>12</v>
      </c>
      <c r="L211">
        <v>102</v>
      </c>
      <c r="M211" t="s">
        <v>572</v>
      </c>
      <c r="N211" t="s">
        <v>164</v>
      </c>
      <c r="O211">
        <v>2155551555</v>
      </c>
      <c r="P211" t="s">
        <v>165</v>
      </c>
      <c r="R211" t="s">
        <v>166</v>
      </c>
      <c r="S211" t="s">
        <v>167</v>
      </c>
      <c r="T211">
        <v>70267</v>
      </c>
      <c r="U211" t="s">
        <v>1</v>
      </c>
      <c r="V211" t="s">
        <v>58</v>
      </c>
      <c r="W211" t="s">
        <v>59</v>
      </c>
      <c r="X211" t="s">
        <v>168</v>
      </c>
      <c r="Y211" t="s">
        <v>76</v>
      </c>
      <c r="Z211" t="str">
        <f>IF(COUNTA(A211:Y211)=0,"Blank","")</f>
        <v/>
      </c>
      <c r="AA211" s="4" t="str">
        <f>TEXT(F211,"mmmm")</f>
        <v>May</v>
      </c>
    </row>
    <row r="212" spans="1:27">
      <c r="A212">
        <v>10110</v>
      </c>
      <c r="B212">
        <v>37</v>
      </c>
      <c r="C212">
        <v>100</v>
      </c>
      <c r="D212">
        <v>16</v>
      </c>
      <c r="E212" s="1">
        <v>5433.08</v>
      </c>
      <c r="F212" s="3">
        <v>37698</v>
      </c>
      <c r="G212" t="s">
        <v>52</v>
      </c>
      <c r="H212">
        <v>1</v>
      </c>
      <c r="I212">
        <v>3</v>
      </c>
      <c r="J212">
        <v>2003</v>
      </c>
      <c r="K212" t="s">
        <v>0</v>
      </c>
      <c r="L212">
        <v>124</v>
      </c>
      <c r="M212" t="s">
        <v>585</v>
      </c>
      <c r="N212" t="s">
        <v>516</v>
      </c>
      <c r="O212" t="s">
        <v>517</v>
      </c>
      <c r="P212" t="s">
        <v>518</v>
      </c>
      <c r="R212" t="s">
        <v>519</v>
      </c>
      <c r="T212" t="s">
        <v>520</v>
      </c>
      <c r="U212" t="s">
        <v>195</v>
      </c>
      <c r="V212" t="s">
        <v>67</v>
      </c>
      <c r="W212" t="s">
        <v>521</v>
      </c>
      <c r="X212" t="s">
        <v>119</v>
      </c>
      <c r="Y212" t="s">
        <v>76</v>
      </c>
      <c r="Z212" t="str">
        <f>IF(COUNTA(A212:Y212)=0,"Blank","")</f>
        <v/>
      </c>
      <c r="AA212" s="4" t="str">
        <f>TEXT(F212,"mmmm")</f>
        <v>March</v>
      </c>
    </row>
    <row r="213" spans="1:27">
      <c r="A213">
        <v>10123</v>
      </c>
      <c r="B213">
        <v>26</v>
      </c>
      <c r="C213">
        <v>100</v>
      </c>
      <c r="D213">
        <v>2</v>
      </c>
      <c r="E213" s="1">
        <v>3073.72</v>
      </c>
      <c r="F213" s="3">
        <v>37761</v>
      </c>
      <c r="G213" t="s">
        <v>52</v>
      </c>
      <c r="H213">
        <v>2</v>
      </c>
      <c r="I213">
        <v>5</v>
      </c>
      <c r="J213">
        <v>2003</v>
      </c>
      <c r="K213" t="s">
        <v>0</v>
      </c>
      <c r="L213">
        <v>124</v>
      </c>
      <c r="M213" t="s">
        <v>585</v>
      </c>
      <c r="N213" t="s">
        <v>336</v>
      </c>
      <c r="O213" t="s">
        <v>337</v>
      </c>
      <c r="P213" t="s">
        <v>338</v>
      </c>
      <c r="R213" t="s">
        <v>142</v>
      </c>
      <c r="T213">
        <v>44000</v>
      </c>
      <c r="U213" t="s">
        <v>66</v>
      </c>
      <c r="V213" t="s">
        <v>67</v>
      </c>
      <c r="W213" t="s">
        <v>339</v>
      </c>
      <c r="X213" t="s">
        <v>340</v>
      </c>
      <c r="Y213" t="s">
        <v>76</v>
      </c>
      <c r="Z213" t="str">
        <f>IF(COUNTA(A213:Y213)=0,"Blank","")</f>
        <v/>
      </c>
      <c r="AA213" s="4" t="str">
        <f>TEXT(F213,"mmmm")</f>
        <v>May</v>
      </c>
    </row>
    <row r="214" spans="1:27">
      <c r="A214">
        <v>10137</v>
      </c>
      <c r="B214">
        <v>44</v>
      </c>
      <c r="C214">
        <v>99.55</v>
      </c>
      <c r="D214">
        <v>2</v>
      </c>
      <c r="E214" s="1">
        <v>4380.2</v>
      </c>
      <c r="F214" s="3">
        <v>37812</v>
      </c>
      <c r="G214" t="s">
        <v>52</v>
      </c>
      <c r="H214">
        <v>3</v>
      </c>
      <c r="I214">
        <v>7</v>
      </c>
      <c r="J214">
        <v>2003</v>
      </c>
      <c r="K214" t="s">
        <v>0</v>
      </c>
      <c r="L214">
        <v>124</v>
      </c>
      <c r="M214" t="s">
        <v>585</v>
      </c>
      <c r="N214" t="s">
        <v>62</v>
      </c>
      <c r="O214" t="s">
        <v>63</v>
      </c>
      <c r="P214" t="s">
        <v>64</v>
      </c>
      <c r="R214" t="s">
        <v>65</v>
      </c>
      <c r="T214">
        <v>51100</v>
      </c>
      <c r="U214" t="s">
        <v>66</v>
      </c>
      <c r="V214" t="s">
        <v>67</v>
      </c>
      <c r="W214" t="s">
        <v>68</v>
      </c>
      <c r="X214" t="s">
        <v>69</v>
      </c>
      <c r="Y214" t="s">
        <v>76</v>
      </c>
      <c r="Z214" t="str">
        <f>IF(COUNTA(A214:Y214)=0,"Blank","")</f>
        <v/>
      </c>
      <c r="AA214" s="4" t="str">
        <f>TEXT(F214,"mmmm")</f>
        <v>July</v>
      </c>
    </row>
    <row r="215" spans="1:27">
      <c r="A215">
        <v>10172</v>
      </c>
      <c r="B215">
        <v>42</v>
      </c>
      <c r="C215">
        <v>100</v>
      </c>
      <c r="D215">
        <v>6</v>
      </c>
      <c r="E215" s="1">
        <v>4965.24</v>
      </c>
      <c r="F215" s="3">
        <v>37930</v>
      </c>
      <c r="G215" t="s">
        <v>52</v>
      </c>
      <c r="H215">
        <v>4</v>
      </c>
      <c r="I215">
        <v>11</v>
      </c>
      <c r="J215">
        <v>2003</v>
      </c>
      <c r="K215" t="s">
        <v>0</v>
      </c>
      <c r="L215">
        <v>124</v>
      </c>
      <c r="M215" t="s">
        <v>585</v>
      </c>
      <c r="N215" t="s">
        <v>134</v>
      </c>
      <c r="O215">
        <v>2035552570</v>
      </c>
      <c r="P215" t="s">
        <v>135</v>
      </c>
      <c r="R215" t="s">
        <v>136</v>
      </c>
      <c r="S215" t="s">
        <v>137</v>
      </c>
      <c r="T215">
        <v>97562</v>
      </c>
      <c r="U215" t="s">
        <v>1</v>
      </c>
      <c r="V215" t="s">
        <v>58</v>
      </c>
      <c r="W215" t="s">
        <v>138</v>
      </c>
      <c r="X215" t="s">
        <v>82</v>
      </c>
      <c r="Y215" t="s">
        <v>76</v>
      </c>
      <c r="Z215" t="str">
        <f>IF(COUNTA(A215:Y215)=0,"Blank","")</f>
        <v/>
      </c>
      <c r="AA215" s="4" t="str">
        <f>TEXT(F215,"mmmm")</f>
        <v>November</v>
      </c>
    </row>
    <row r="216" spans="1:27">
      <c r="A216">
        <v>10226</v>
      </c>
      <c r="B216">
        <v>38</v>
      </c>
      <c r="C216">
        <v>100</v>
      </c>
      <c r="D216">
        <v>4</v>
      </c>
      <c r="E216" s="1">
        <v>4161.38</v>
      </c>
      <c r="F216" s="3">
        <v>38043</v>
      </c>
      <c r="G216" t="s">
        <v>52</v>
      </c>
      <c r="H216">
        <v>1</v>
      </c>
      <c r="I216">
        <v>2</v>
      </c>
      <c r="J216">
        <v>2004</v>
      </c>
      <c r="K216" t="s">
        <v>0</v>
      </c>
      <c r="L216">
        <v>124</v>
      </c>
      <c r="M216" t="s">
        <v>585</v>
      </c>
      <c r="N216" t="s">
        <v>386</v>
      </c>
      <c r="O216">
        <v>7605558146</v>
      </c>
      <c r="P216" t="s">
        <v>387</v>
      </c>
      <c r="R216" t="s">
        <v>388</v>
      </c>
      <c r="S216" t="s">
        <v>80</v>
      </c>
      <c r="T216">
        <v>91217</v>
      </c>
      <c r="U216" t="s">
        <v>1</v>
      </c>
      <c r="V216" t="s">
        <v>58</v>
      </c>
      <c r="W216" t="s">
        <v>261</v>
      </c>
      <c r="X216" t="s">
        <v>300</v>
      </c>
      <c r="Y216" t="s">
        <v>76</v>
      </c>
      <c r="Z216" t="str">
        <f>IF(COUNTA(A216:Y216)=0,"Blank","")</f>
        <v/>
      </c>
      <c r="AA216" s="4" t="str">
        <f>TEXT(F216,"mmmm")</f>
        <v>February</v>
      </c>
    </row>
    <row r="217" spans="1:27">
      <c r="A217">
        <v>10241</v>
      </c>
      <c r="B217">
        <v>21</v>
      </c>
      <c r="C217">
        <v>100</v>
      </c>
      <c r="D217">
        <v>11</v>
      </c>
      <c r="E217" s="1">
        <v>2508.66</v>
      </c>
      <c r="F217" s="3">
        <v>38090</v>
      </c>
      <c r="G217" t="s">
        <v>52</v>
      </c>
      <c r="H217">
        <v>2</v>
      </c>
      <c r="I217">
        <v>4</v>
      </c>
      <c r="J217">
        <v>2004</v>
      </c>
      <c r="K217" t="s">
        <v>0</v>
      </c>
      <c r="L217">
        <v>124</v>
      </c>
      <c r="M217" t="s">
        <v>585</v>
      </c>
      <c r="N217" t="s">
        <v>554</v>
      </c>
      <c r="O217" t="s">
        <v>555</v>
      </c>
      <c r="P217" t="s">
        <v>556</v>
      </c>
      <c r="R217" t="s">
        <v>557</v>
      </c>
      <c r="T217">
        <v>67000</v>
      </c>
      <c r="U217" t="s">
        <v>66</v>
      </c>
      <c r="V217" t="s">
        <v>67</v>
      </c>
      <c r="W217" t="s">
        <v>558</v>
      </c>
      <c r="X217" t="s">
        <v>559</v>
      </c>
      <c r="Y217" t="s">
        <v>61</v>
      </c>
      <c r="Z217" t="str">
        <f>IF(COUNTA(A217:Y217)=0,"Blank","")</f>
        <v/>
      </c>
      <c r="AA217" s="4" t="str">
        <f>TEXT(F217,"mmmm")</f>
        <v>April</v>
      </c>
    </row>
    <row r="218" spans="1:27">
      <c r="A218">
        <v>10288</v>
      </c>
      <c r="B218">
        <v>20</v>
      </c>
      <c r="C218">
        <v>100</v>
      </c>
      <c r="D218">
        <v>14</v>
      </c>
      <c r="E218" s="1">
        <v>2936.8</v>
      </c>
      <c r="F218" s="3">
        <v>38231</v>
      </c>
      <c r="G218" t="s">
        <v>52</v>
      </c>
      <c r="H218">
        <v>3</v>
      </c>
      <c r="I218">
        <v>9</v>
      </c>
      <c r="J218">
        <v>2004</v>
      </c>
      <c r="K218" t="s">
        <v>0</v>
      </c>
      <c r="L218">
        <v>124</v>
      </c>
      <c r="M218" t="s">
        <v>585</v>
      </c>
      <c r="N218" t="s">
        <v>442</v>
      </c>
      <c r="O218" t="s">
        <v>443</v>
      </c>
      <c r="P218" t="s">
        <v>444</v>
      </c>
      <c r="Q218" t="s">
        <v>445</v>
      </c>
      <c r="R218" t="s">
        <v>223</v>
      </c>
      <c r="T218">
        <v>69045</v>
      </c>
      <c r="U218" t="s">
        <v>223</v>
      </c>
      <c r="V218" t="s">
        <v>121</v>
      </c>
      <c r="W218" t="s">
        <v>446</v>
      </c>
      <c r="X218" t="s">
        <v>447</v>
      </c>
      <c r="Y218" t="s">
        <v>61</v>
      </c>
      <c r="Z218" t="str">
        <f>IF(COUNTA(A218:Y218)=0,"Blank","")</f>
        <v/>
      </c>
      <c r="AA218" s="4" t="str">
        <f>TEXT(F218,"mmmm")</f>
        <v>September</v>
      </c>
    </row>
    <row r="219" spans="1:27">
      <c r="A219">
        <v>10311</v>
      </c>
      <c r="B219">
        <v>29</v>
      </c>
      <c r="C219">
        <v>100</v>
      </c>
      <c r="D219">
        <v>9</v>
      </c>
      <c r="E219" s="1">
        <v>2923.2</v>
      </c>
      <c r="F219" s="3">
        <v>38276</v>
      </c>
      <c r="G219" t="s">
        <v>52</v>
      </c>
      <c r="H219">
        <v>4</v>
      </c>
      <c r="I219">
        <v>10</v>
      </c>
      <c r="J219">
        <v>2004</v>
      </c>
      <c r="K219" t="s">
        <v>0</v>
      </c>
      <c r="L219">
        <v>124</v>
      </c>
      <c r="M219" t="s">
        <v>585</v>
      </c>
      <c r="N219" t="s">
        <v>199</v>
      </c>
      <c r="O219" t="s">
        <v>200</v>
      </c>
      <c r="P219" t="s">
        <v>201</v>
      </c>
      <c r="R219" t="s">
        <v>202</v>
      </c>
      <c r="T219">
        <v>28034</v>
      </c>
      <c r="U219" t="s">
        <v>203</v>
      </c>
      <c r="V219" t="s">
        <v>67</v>
      </c>
      <c r="W219" t="s">
        <v>204</v>
      </c>
      <c r="X219" t="s">
        <v>205</v>
      </c>
      <c r="Y219" t="s">
        <v>61</v>
      </c>
      <c r="Z219" t="str">
        <f>IF(COUNTA(A219:Y219)=0,"Blank","")</f>
        <v/>
      </c>
      <c r="AA219" s="4" t="str">
        <f>TEXT(F219,"mmmm")</f>
        <v>October</v>
      </c>
    </row>
    <row r="220" spans="1:27">
      <c r="A220">
        <v>10343</v>
      </c>
      <c r="B220">
        <v>36</v>
      </c>
      <c r="C220">
        <v>100</v>
      </c>
      <c r="D220">
        <v>4</v>
      </c>
      <c r="E220" s="1">
        <v>5848.92</v>
      </c>
      <c r="F220" s="3">
        <v>38315</v>
      </c>
      <c r="G220" t="s">
        <v>52</v>
      </c>
      <c r="H220">
        <v>4</v>
      </c>
      <c r="I220">
        <v>11</v>
      </c>
      <c r="J220">
        <v>2004</v>
      </c>
      <c r="K220" t="s">
        <v>0</v>
      </c>
      <c r="L220">
        <v>124</v>
      </c>
      <c r="M220" t="s">
        <v>585</v>
      </c>
      <c r="N220" t="s">
        <v>62</v>
      </c>
      <c r="O220" t="s">
        <v>63</v>
      </c>
      <c r="P220" t="s">
        <v>64</v>
      </c>
      <c r="R220" t="s">
        <v>65</v>
      </c>
      <c r="T220">
        <v>51100</v>
      </c>
      <c r="U220" t="s">
        <v>66</v>
      </c>
      <c r="V220" t="s">
        <v>67</v>
      </c>
      <c r="W220" t="s">
        <v>68</v>
      </c>
      <c r="X220" t="s">
        <v>69</v>
      </c>
      <c r="Y220" t="s">
        <v>76</v>
      </c>
      <c r="Z220" t="str">
        <f>IF(COUNTA(A220:Y220)=0,"Blank","")</f>
        <v/>
      </c>
      <c r="AA220" s="4" t="str">
        <f>TEXT(F220,"mmmm")</f>
        <v>November</v>
      </c>
    </row>
    <row r="221" spans="1:27">
      <c r="A221">
        <v>10367</v>
      </c>
      <c r="B221">
        <v>49</v>
      </c>
      <c r="C221">
        <v>56.3</v>
      </c>
      <c r="D221">
        <v>1</v>
      </c>
      <c r="E221" s="1">
        <v>2758.7</v>
      </c>
      <c r="F221" s="3">
        <v>38364</v>
      </c>
      <c r="G221" t="s">
        <v>432</v>
      </c>
      <c r="H221">
        <v>1</v>
      </c>
      <c r="I221">
        <v>1</v>
      </c>
      <c r="J221">
        <v>2005</v>
      </c>
      <c r="K221" t="s">
        <v>0</v>
      </c>
      <c r="L221">
        <v>124</v>
      </c>
      <c r="M221" t="s">
        <v>585</v>
      </c>
      <c r="N221" t="s">
        <v>77</v>
      </c>
      <c r="O221">
        <v>6265557265</v>
      </c>
      <c r="P221" t="s">
        <v>78</v>
      </c>
      <c r="R221" t="s">
        <v>79</v>
      </c>
      <c r="S221" t="s">
        <v>80</v>
      </c>
      <c r="T221">
        <v>90003</v>
      </c>
      <c r="U221" t="s">
        <v>1</v>
      </c>
      <c r="V221" t="s">
        <v>58</v>
      </c>
      <c r="W221" t="s">
        <v>81</v>
      </c>
      <c r="X221" t="s">
        <v>82</v>
      </c>
      <c r="Y221" t="s">
        <v>61</v>
      </c>
      <c r="Z221" t="str">
        <f>IF(COUNTA(A221:Y221)=0,"Blank","")</f>
        <v/>
      </c>
      <c r="AA221" s="4" t="str">
        <f>TEXT(F221,"mmmm")</f>
        <v>January</v>
      </c>
    </row>
    <row r="222" spans="1:27">
      <c r="A222">
        <v>10378</v>
      </c>
      <c r="B222">
        <v>34</v>
      </c>
      <c r="C222">
        <v>42.64</v>
      </c>
      <c r="D222">
        <v>5</v>
      </c>
      <c r="E222" s="1">
        <v>1449.76</v>
      </c>
      <c r="F222" s="3">
        <v>38393</v>
      </c>
      <c r="G222" t="s">
        <v>52</v>
      </c>
      <c r="H222">
        <v>1</v>
      </c>
      <c r="I222">
        <v>2</v>
      </c>
      <c r="J222">
        <v>2005</v>
      </c>
      <c r="K222" t="s">
        <v>0</v>
      </c>
      <c r="L222">
        <v>124</v>
      </c>
      <c r="M222" t="s">
        <v>585</v>
      </c>
      <c r="N222" t="s">
        <v>199</v>
      </c>
      <c r="O222" t="s">
        <v>200</v>
      </c>
      <c r="P222" t="s">
        <v>201</v>
      </c>
      <c r="R222" t="s">
        <v>202</v>
      </c>
      <c r="T222">
        <v>28034</v>
      </c>
      <c r="U222" t="s">
        <v>203</v>
      </c>
      <c r="V222" t="s">
        <v>67</v>
      </c>
      <c r="W222" t="s">
        <v>204</v>
      </c>
      <c r="X222" t="s">
        <v>205</v>
      </c>
      <c r="Y222" t="s">
        <v>61</v>
      </c>
      <c r="Z222" t="str">
        <f>IF(COUNTA(A222:Y222)=0,"Blank","")</f>
        <v/>
      </c>
      <c r="AA222" s="4" t="str">
        <f>TEXT(F222,"mmmm")</f>
        <v>February</v>
      </c>
    </row>
    <row r="223" spans="1:27">
      <c r="A223">
        <v>10407</v>
      </c>
      <c r="B223">
        <v>59</v>
      </c>
      <c r="C223">
        <v>100</v>
      </c>
      <c r="D223">
        <v>11</v>
      </c>
      <c r="E223" s="1">
        <v>7048.14</v>
      </c>
      <c r="F223" s="3">
        <v>38464</v>
      </c>
      <c r="G223" t="s">
        <v>425</v>
      </c>
      <c r="H223">
        <v>2</v>
      </c>
      <c r="I223">
        <v>4</v>
      </c>
      <c r="J223">
        <v>2005</v>
      </c>
      <c r="K223" t="s">
        <v>0</v>
      </c>
      <c r="L223">
        <v>124</v>
      </c>
      <c r="M223" t="s">
        <v>585</v>
      </c>
      <c r="N223" t="s">
        <v>421</v>
      </c>
      <c r="O223">
        <v>4085553659</v>
      </c>
      <c r="P223" t="s">
        <v>422</v>
      </c>
      <c r="R223" t="s">
        <v>423</v>
      </c>
      <c r="S223" t="s">
        <v>80</v>
      </c>
      <c r="T223">
        <v>94217</v>
      </c>
      <c r="U223" t="s">
        <v>1</v>
      </c>
      <c r="V223" t="s">
        <v>58</v>
      </c>
      <c r="W223" t="s">
        <v>127</v>
      </c>
      <c r="X223" t="s">
        <v>424</v>
      </c>
      <c r="Y223" t="s">
        <v>176</v>
      </c>
      <c r="Z223" t="str">
        <f>IF(COUNTA(A223:Y223)=0,"Blank","")</f>
        <v/>
      </c>
      <c r="AA223" s="4" t="str">
        <f>TEXT(F223,"mmmm")</f>
        <v>April</v>
      </c>
    </row>
    <row r="224" spans="1:27">
      <c r="A224">
        <v>10106</v>
      </c>
      <c r="B224">
        <v>36</v>
      </c>
      <c r="C224">
        <v>100</v>
      </c>
      <c r="D224">
        <v>12</v>
      </c>
      <c r="E224" s="1">
        <v>5279.4</v>
      </c>
      <c r="F224" s="3">
        <v>37669</v>
      </c>
      <c r="G224" t="s">
        <v>52</v>
      </c>
      <c r="H224">
        <v>1</v>
      </c>
      <c r="I224">
        <v>2</v>
      </c>
      <c r="J224">
        <v>2003</v>
      </c>
      <c r="K224" t="s">
        <v>8</v>
      </c>
      <c r="L224">
        <v>157</v>
      </c>
      <c r="M224" t="s">
        <v>586</v>
      </c>
      <c r="N224" t="s">
        <v>573</v>
      </c>
      <c r="O224" t="s">
        <v>574</v>
      </c>
      <c r="P224" t="s">
        <v>575</v>
      </c>
      <c r="R224" t="s">
        <v>576</v>
      </c>
      <c r="T224">
        <v>24100</v>
      </c>
      <c r="U224" t="s">
        <v>282</v>
      </c>
      <c r="V224" t="s">
        <v>67</v>
      </c>
      <c r="W224" t="s">
        <v>577</v>
      </c>
      <c r="X224" t="s">
        <v>578</v>
      </c>
      <c r="Y224" t="s">
        <v>76</v>
      </c>
      <c r="Z224" t="str">
        <f>IF(COUNTA(A224:Y224)=0,"Blank","")</f>
        <v/>
      </c>
      <c r="AA224" s="4" t="str">
        <f>TEXT(F224,"mmmm")</f>
        <v>February</v>
      </c>
    </row>
    <row r="225" spans="1:27">
      <c r="A225">
        <v>10131</v>
      </c>
      <c r="B225">
        <v>21</v>
      </c>
      <c r="C225">
        <v>100</v>
      </c>
      <c r="D225">
        <v>4</v>
      </c>
      <c r="E225" s="1">
        <v>2781.66</v>
      </c>
      <c r="F225" s="3">
        <v>37788</v>
      </c>
      <c r="G225" t="s">
        <v>52</v>
      </c>
      <c r="H225">
        <v>2</v>
      </c>
      <c r="I225">
        <v>6</v>
      </c>
      <c r="J225">
        <v>2003</v>
      </c>
      <c r="K225" t="s">
        <v>8</v>
      </c>
      <c r="L225">
        <v>157</v>
      </c>
      <c r="M225" t="s">
        <v>586</v>
      </c>
      <c r="N225" t="s">
        <v>587</v>
      </c>
      <c r="O225">
        <v>2035554407</v>
      </c>
      <c r="P225" t="s">
        <v>588</v>
      </c>
      <c r="R225" t="s">
        <v>539</v>
      </c>
      <c r="S225" t="s">
        <v>137</v>
      </c>
      <c r="T225">
        <v>97561</v>
      </c>
      <c r="U225" t="s">
        <v>1</v>
      </c>
      <c r="V225" t="s">
        <v>58</v>
      </c>
      <c r="W225" t="s">
        <v>589</v>
      </c>
      <c r="X225" t="s">
        <v>590</v>
      </c>
      <c r="Y225" t="s">
        <v>61</v>
      </c>
      <c r="Z225" t="str">
        <f>IF(COUNTA(A225:Y225)=0,"Blank","")</f>
        <v/>
      </c>
      <c r="AA225" s="4" t="str">
        <f>TEXT(F225,"mmmm")</f>
        <v>June</v>
      </c>
    </row>
    <row r="226" spans="1:27">
      <c r="A226">
        <v>10198</v>
      </c>
      <c r="B226">
        <v>42</v>
      </c>
      <c r="C226">
        <v>100</v>
      </c>
      <c r="D226">
        <v>4</v>
      </c>
      <c r="E226" s="1">
        <v>7483.98</v>
      </c>
      <c r="F226" s="3">
        <v>37952</v>
      </c>
      <c r="G226" t="s">
        <v>52</v>
      </c>
      <c r="H226">
        <v>4</v>
      </c>
      <c r="I226">
        <v>11</v>
      </c>
      <c r="J226">
        <v>2003</v>
      </c>
      <c r="K226" t="s">
        <v>8</v>
      </c>
      <c r="L226">
        <v>157</v>
      </c>
      <c r="M226" t="s">
        <v>586</v>
      </c>
      <c r="N226" t="s">
        <v>449</v>
      </c>
      <c r="O226" t="s">
        <v>450</v>
      </c>
      <c r="P226" t="s">
        <v>451</v>
      </c>
      <c r="R226" t="s">
        <v>452</v>
      </c>
      <c r="T226" t="s">
        <v>453</v>
      </c>
      <c r="U226" t="s">
        <v>454</v>
      </c>
      <c r="V226" t="s">
        <v>224</v>
      </c>
      <c r="W226" t="s">
        <v>455</v>
      </c>
      <c r="X226" t="s">
        <v>456</v>
      </c>
      <c r="Y226" t="s">
        <v>176</v>
      </c>
      <c r="Z226" t="str">
        <f>IF(COUNTA(A226:Y226)=0,"Blank","")</f>
        <v/>
      </c>
      <c r="AA226" s="4" t="str">
        <f>TEXT(F226,"mmmm")</f>
        <v>November</v>
      </c>
    </row>
    <row r="227" spans="1:27">
      <c r="A227">
        <v>10250</v>
      </c>
      <c r="B227">
        <v>45</v>
      </c>
      <c r="C227">
        <v>100</v>
      </c>
      <c r="D227">
        <v>14</v>
      </c>
      <c r="E227" s="1">
        <v>8160.3</v>
      </c>
      <c r="F227" s="3">
        <v>38118</v>
      </c>
      <c r="G227" t="s">
        <v>52</v>
      </c>
      <c r="H227">
        <v>2</v>
      </c>
      <c r="I227">
        <v>5</v>
      </c>
      <c r="J227">
        <v>2004</v>
      </c>
      <c r="K227" t="s">
        <v>8</v>
      </c>
      <c r="L227">
        <v>157</v>
      </c>
      <c r="M227" t="s">
        <v>586</v>
      </c>
      <c r="N227" t="s">
        <v>421</v>
      </c>
      <c r="O227">
        <v>4085553659</v>
      </c>
      <c r="P227" t="s">
        <v>422</v>
      </c>
      <c r="R227" t="s">
        <v>423</v>
      </c>
      <c r="S227" t="s">
        <v>80</v>
      </c>
      <c r="T227">
        <v>94217</v>
      </c>
      <c r="U227" t="s">
        <v>1</v>
      </c>
      <c r="V227" t="s">
        <v>58</v>
      </c>
      <c r="W227" t="s">
        <v>127</v>
      </c>
      <c r="X227" t="s">
        <v>424</v>
      </c>
      <c r="Y227" t="s">
        <v>176</v>
      </c>
      <c r="Z227" t="str">
        <f>IF(COUNTA(A227:Y227)=0,"Blank","")</f>
        <v/>
      </c>
      <c r="AA227" s="4" t="str">
        <f>TEXT(F227,"mmmm")</f>
        <v>May</v>
      </c>
    </row>
    <row r="228" spans="1:27">
      <c r="A228">
        <v>10262</v>
      </c>
      <c r="B228">
        <v>49</v>
      </c>
      <c r="C228">
        <v>100</v>
      </c>
      <c r="D228">
        <v>9</v>
      </c>
      <c r="E228" s="1">
        <v>6567.96</v>
      </c>
      <c r="F228" s="3">
        <v>38162</v>
      </c>
      <c r="G228" t="s">
        <v>363</v>
      </c>
      <c r="H228">
        <v>2</v>
      </c>
      <c r="I228">
        <v>6</v>
      </c>
      <c r="J228">
        <v>2004</v>
      </c>
      <c r="K228" t="s">
        <v>8</v>
      </c>
      <c r="L228">
        <v>157</v>
      </c>
      <c r="M228" t="s">
        <v>586</v>
      </c>
      <c r="N228" t="s">
        <v>199</v>
      </c>
      <c r="O228" t="s">
        <v>200</v>
      </c>
      <c r="P228" t="s">
        <v>201</v>
      </c>
      <c r="R228" t="s">
        <v>202</v>
      </c>
      <c r="T228">
        <v>28034</v>
      </c>
      <c r="U228" t="s">
        <v>203</v>
      </c>
      <c r="V228" t="s">
        <v>67</v>
      </c>
      <c r="W228" t="s">
        <v>204</v>
      </c>
      <c r="X228" t="s">
        <v>205</v>
      </c>
      <c r="Y228" t="s">
        <v>76</v>
      </c>
      <c r="Z228" t="str">
        <f>IF(COUNTA(A228:Y228)=0,"Blank","")</f>
        <v/>
      </c>
      <c r="AA228" s="4" t="str">
        <f>TEXT(F228,"mmmm")</f>
        <v>June</v>
      </c>
    </row>
    <row r="229" spans="1:27">
      <c r="A229">
        <v>10274</v>
      </c>
      <c r="B229">
        <v>41</v>
      </c>
      <c r="C229">
        <v>100</v>
      </c>
      <c r="D229">
        <v>1</v>
      </c>
      <c r="E229" s="1">
        <v>6724</v>
      </c>
      <c r="F229" s="3">
        <v>38189</v>
      </c>
      <c r="G229" t="s">
        <v>52</v>
      </c>
      <c r="H229">
        <v>3</v>
      </c>
      <c r="I229">
        <v>7</v>
      </c>
      <c r="J229">
        <v>2004</v>
      </c>
      <c r="K229" t="s">
        <v>8</v>
      </c>
      <c r="L229">
        <v>157</v>
      </c>
      <c r="M229" t="s">
        <v>586</v>
      </c>
      <c r="N229" t="s">
        <v>305</v>
      </c>
      <c r="O229">
        <v>6175558555</v>
      </c>
      <c r="P229" t="s">
        <v>306</v>
      </c>
      <c r="R229" t="s">
        <v>307</v>
      </c>
      <c r="S229" t="s">
        <v>148</v>
      </c>
      <c r="T229">
        <v>58339</v>
      </c>
      <c r="U229" t="s">
        <v>1</v>
      </c>
      <c r="V229" t="s">
        <v>58</v>
      </c>
      <c r="W229" t="s">
        <v>299</v>
      </c>
      <c r="X229" t="s">
        <v>308</v>
      </c>
      <c r="Y229" t="s">
        <v>76</v>
      </c>
      <c r="Z229" t="str">
        <f>IF(COUNTA(A229:Y229)=0,"Blank","")</f>
        <v/>
      </c>
      <c r="AA229" s="4" t="str">
        <f>TEXT(F229,"mmmm")</f>
        <v>July</v>
      </c>
    </row>
    <row r="230" spans="1:27">
      <c r="A230">
        <v>10284</v>
      </c>
      <c r="B230">
        <v>45</v>
      </c>
      <c r="C230">
        <v>100</v>
      </c>
      <c r="D230">
        <v>11</v>
      </c>
      <c r="E230" s="1">
        <v>5747.85</v>
      </c>
      <c r="F230" s="3">
        <v>38220</v>
      </c>
      <c r="G230" t="s">
        <v>52</v>
      </c>
      <c r="H230">
        <v>3</v>
      </c>
      <c r="I230">
        <v>8</v>
      </c>
      <c r="J230">
        <v>2004</v>
      </c>
      <c r="K230" t="s">
        <v>8</v>
      </c>
      <c r="L230">
        <v>157</v>
      </c>
      <c r="M230" t="s">
        <v>586</v>
      </c>
      <c r="N230" t="s">
        <v>565</v>
      </c>
      <c r="O230" t="s">
        <v>566</v>
      </c>
      <c r="P230" t="s">
        <v>567</v>
      </c>
      <c r="R230" t="s">
        <v>568</v>
      </c>
      <c r="T230" t="s">
        <v>569</v>
      </c>
      <c r="U230" t="s">
        <v>103</v>
      </c>
      <c r="V230" t="s">
        <v>67</v>
      </c>
      <c r="W230" t="s">
        <v>570</v>
      </c>
      <c r="X230" t="s">
        <v>571</v>
      </c>
      <c r="Y230" t="s">
        <v>76</v>
      </c>
      <c r="Z230" t="str">
        <f>IF(COUNTA(A230:Y230)=0,"Blank","")</f>
        <v/>
      </c>
      <c r="AA230" s="4" t="str">
        <f>TEXT(F230,"mmmm")</f>
        <v>August</v>
      </c>
    </row>
    <row r="231" spans="1:27">
      <c r="A231">
        <v>10296</v>
      </c>
      <c r="B231">
        <v>36</v>
      </c>
      <c r="C231">
        <v>100</v>
      </c>
      <c r="D231">
        <v>7</v>
      </c>
      <c r="E231" s="1">
        <v>5676.84</v>
      </c>
      <c r="F231" s="3">
        <v>38245</v>
      </c>
      <c r="G231" t="s">
        <v>52</v>
      </c>
      <c r="H231">
        <v>3</v>
      </c>
      <c r="I231">
        <v>9</v>
      </c>
      <c r="J231">
        <v>2004</v>
      </c>
      <c r="K231" t="s">
        <v>8</v>
      </c>
      <c r="L231">
        <v>157</v>
      </c>
      <c r="M231" t="s">
        <v>586</v>
      </c>
      <c r="N231" t="s">
        <v>591</v>
      </c>
      <c r="O231" t="s">
        <v>592</v>
      </c>
      <c r="P231" t="s">
        <v>593</v>
      </c>
      <c r="R231" t="s">
        <v>594</v>
      </c>
      <c r="T231">
        <v>80686</v>
      </c>
      <c r="U231" t="s">
        <v>467</v>
      </c>
      <c r="V231" t="s">
        <v>67</v>
      </c>
      <c r="W231" t="s">
        <v>595</v>
      </c>
      <c r="X231" t="s">
        <v>128</v>
      </c>
      <c r="Y231" t="s">
        <v>76</v>
      </c>
      <c r="Z231" t="str">
        <f>IF(COUNTA(A231:Y231)=0,"Blank","")</f>
        <v/>
      </c>
      <c r="AA231" s="4" t="str">
        <f>TEXT(F231,"mmmm")</f>
        <v>September</v>
      </c>
    </row>
    <row r="232" spans="1:27">
      <c r="A232">
        <v>10327</v>
      </c>
      <c r="B232">
        <v>25</v>
      </c>
      <c r="C232">
        <v>100</v>
      </c>
      <c r="D232">
        <v>6</v>
      </c>
      <c r="E232" s="1">
        <v>2804.75</v>
      </c>
      <c r="F232" s="3">
        <v>38301</v>
      </c>
      <c r="G232" t="s">
        <v>432</v>
      </c>
      <c r="H232">
        <v>4</v>
      </c>
      <c r="I232">
        <v>11</v>
      </c>
      <c r="J232">
        <v>2004</v>
      </c>
      <c r="K232" t="s">
        <v>8</v>
      </c>
      <c r="L232">
        <v>157</v>
      </c>
      <c r="M232" t="s">
        <v>586</v>
      </c>
      <c r="N232" t="s">
        <v>346</v>
      </c>
      <c r="O232" t="s">
        <v>347</v>
      </c>
      <c r="P232" t="s">
        <v>348</v>
      </c>
      <c r="R232" t="s">
        <v>349</v>
      </c>
      <c r="T232">
        <v>1734</v>
      </c>
      <c r="U232" t="s">
        <v>350</v>
      </c>
      <c r="V232" t="s">
        <v>67</v>
      </c>
      <c r="W232" t="s">
        <v>351</v>
      </c>
      <c r="X232" t="s">
        <v>352</v>
      </c>
      <c r="Y232" t="s">
        <v>61</v>
      </c>
      <c r="Z232" t="str">
        <f>IF(COUNTA(A232:Y232)=0,"Blank","")</f>
        <v/>
      </c>
      <c r="AA232" s="4" t="str">
        <f>TEXT(F232,"mmmm")</f>
        <v>November</v>
      </c>
    </row>
    <row r="233" spans="1:27">
      <c r="A233">
        <v>10338</v>
      </c>
      <c r="B233">
        <v>41</v>
      </c>
      <c r="C233">
        <v>100</v>
      </c>
      <c r="D233">
        <v>1</v>
      </c>
      <c r="E233" s="1">
        <v>5624.79</v>
      </c>
      <c r="F233" s="3">
        <v>38313</v>
      </c>
      <c r="G233" t="s">
        <v>52</v>
      </c>
      <c r="H233">
        <v>4</v>
      </c>
      <c r="I233">
        <v>11</v>
      </c>
      <c r="J233">
        <v>2004</v>
      </c>
      <c r="K233" t="s">
        <v>8</v>
      </c>
      <c r="L233">
        <v>157</v>
      </c>
      <c r="M233" t="s">
        <v>586</v>
      </c>
      <c r="N233" t="s">
        <v>596</v>
      </c>
      <c r="O233" t="s">
        <v>597</v>
      </c>
      <c r="P233" t="s">
        <v>598</v>
      </c>
      <c r="R233" t="s">
        <v>599</v>
      </c>
      <c r="T233" t="s">
        <v>600</v>
      </c>
      <c r="U233" t="s">
        <v>394</v>
      </c>
      <c r="V233" t="s">
        <v>67</v>
      </c>
      <c r="W233" t="s">
        <v>601</v>
      </c>
      <c r="X233" t="s">
        <v>602</v>
      </c>
      <c r="Y233" t="s">
        <v>76</v>
      </c>
      <c r="Z233" t="str">
        <f>IF(COUNTA(A233:Y233)=0,"Blank","")</f>
        <v/>
      </c>
      <c r="AA233" s="4" t="str">
        <f>TEXT(F233,"mmmm")</f>
        <v>November</v>
      </c>
    </row>
    <row r="234" spans="1:27">
      <c r="A234">
        <v>10351</v>
      </c>
      <c r="B234">
        <v>39</v>
      </c>
      <c r="C234">
        <v>99.52</v>
      </c>
      <c r="D234">
        <v>1</v>
      </c>
      <c r="E234" s="1">
        <v>3881.28</v>
      </c>
      <c r="F234" s="3">
        <v>38324</v>
      </c>
      <c r="G234" t="s">
        <v>52</v>
      </c>
      <c r="H234">
        <v>4</v>
      </c>
      <c r="I234">
        <v>12</v>
      </c>
      <c r="J234">
        <v>2004</v>
      </c>
      <c r="K234" t="s">
        <v>8</v>
      </c>
      <c r="L234">
        <v>157</v>
      </c>
      <c r="M234" t="s">
        <v>586</v>
      </c>
      <c r="N234" t="s">
        <v>353</v>
      </c>
      <c r="O234" t="s">
        <v>354</v>
      </c>
      <c r="P234" t="s">
        <v>355</v>
      </c>
      <c r="R234" t="s">
        <v>356</v>
      </c>
      <c r="T234" t="s">
        <v>357</v>
      </c>
      <c r="U234" t="s">
        <v>195</v>
      </c>
      <c r="V234" t="s">
        <v>67</v>
      </c>
      <c r="W234" t="s">
        <v>86</v>
      </c>
      <c r="X234" t="s">
        <v>358</v>
      </c>
      <c r="Y234" t="s">
        <v>76</v>
      </c>
      <c r="Z234" t="str">
        <f>IF(COUNTA(A234:Y234)=0,"Blank","")</f>
        <v/>
      </c>
      <c r="AA234" s="4" t="str">
        <f>TEXT(F234,"mmmm")</f>
        <v>December</v>
      </c>
    </row>
    <row r="235" spans="1:27">
      <c r="A235">
        <v>10386</v>
      </c>
      <c r="B235">
        <v>25</v>
      </c>
      <c r="C235">
        <v>54.57</v>
      </c>
      <c r="D235">
        <v>7</v>
      </c>
      <c r="E235" s="1">
        <v>1364.25</v>
      </c>
      <c r="F235" s="3">
        <v>38412</v>
      </c>
      <c r="G235" t="s">
        <v>432</v>
      </c>
      <c r="H235">
        <v>1</v>
      </c>
      <c r="I235">
        <v>3</v>
      </c>
      <c r="J235">
        <v>2005</v>
      </c>
      <c r="K235" t="s">
        <v>8</v>
      </c>
      <c r="L235">
        <v>157</v>
      </c>
      <c r="M235" t="s">
        <v>586</v>
      </c>
      <c r="N235" t="s">
        <v>199</v>
      </c>
      <c r="O235" t="s">
        <v>200</v>
      </c>
      <c r="P235" t="s">
        <v>201</v>
      </c>
      <c r="R235" t="s">
        <v>202</v>
      </c>
      <c r="T235">
        <v>28034</v>
      </c>
      <c r="U235" t="s">
        <v>203</v>
      </c>
      <c r="V235" t="s">
        <v>67</v>
      </c>
      <c r="W235" t="s">
        <v>204</v>
      </c>
      <c r="X235" t="s">
        <v>205</v>
      </c>
      <c r="Y235" t="s">
        <v>61</v>
      </c>
      <c r="Z235" t="str">
        <f>IF(COUNTA(A235:Y235)=0,"Blank","")</f>
        <v/>
      </c>
      <c r="AA235" s="4" t="str">
        <f>TEXT(F235,"mmmm")</f>
        <v>March</v>
      </c>
    </row>
    <row r="236" spans="1:27">
      <c r="A236">
        <v>10398</v>
      </c>
      <c r="B236">
        <v>33</v>
      </c>
      <c r="C236">
        <v>100</v>
      </c>
      <c r="D236">
        <v>11</v>
      </c>
      <c r="E236" s="1">
        <v>4215.09</v>
      </c>
      <c r="F236" s="3">
        <v>38441</v>
      </c>
      <c r="G236" t="s">
        <v>52</v>
      </c>
      <c r="H236">
        <v>1</v>
      </c>
      <c r="I236">
        <v>3</v>
      </c>
      <c r="J236">
        <v>2005</v>
      </c>
      <c r="K236" t="s">
        <v>8</v>
      </c>
      <c r="L236">
        <v>157</v>
      </c>
      <c r="M236" t="s">
        <v>586</v>
      </c>
      <c r="N236" t="s">
        <v>62</v>
      </c>
      <c r="O236" t="s">
        <v>63</v>
      </c>
      <c r="P236" t="s">
        <v>64</v>
      </c>
      <c r="R236" t="s">
        <v>65</v>
      </c>
      <c r="T236">
        <v>51100</v>
      </c>
      <c r="U236" t="s">
        <v>66</v>
      </c>
      <c r="V236" t="s">
        <v>67</v>
      </c>
      <c r="W236" t="s">
        <v>68</v>
      </c>
      <c r="X236" t="s">
        <v>69</v>
      </c>
      <c r="Y236" t="s">
        <v>76</v>
      </c>
      <c r="Z236" t="str">
        <f>IF(COUNTA(A236:Y236)=0,"Blank","")</f>
        <v/>
      </c>
      <c r="AA236" s="4" t="str">
        <f>TEXT(F236,"mmmm")</f>
        <v>March</v>
      </c>
    </row>
    <row r="237" spans="1:27">
      <c r="A237">
        <v>10416</v>
      </c>
      <c r="B237">
        <v>24</v>
      </c>
      <c r="C237">
        <v>100</v>
      </c>
      <c r="D237">
        <v>14</v>
      </c>
      <c r="E237" s="1">
        <v>4352.16</v>
      </c>
      <c r="F237" s="3">
        <v>38482</v>
      </c>
      <c r="G237" t="s">
        <v>52</v>
      </c>
      <c r="H237">
        <v>2</v>
      </c>
      <c r="I237">
        <v>5</v>
      </c>
      <c r="J237">
        <v>2005</v>
      </c>
      <c r="K237" t="s">
        <v>8</v>
      </c>
      <c r="L237">
        <v>157</v>
      </c>
      <c r="M237" t="s">
        <v>586</v>
      </c>
      <c r="N237" t="s">
        <v>476</v>
      </c>
      <c r="O237" t="s">
        <v>477</v>
      </c>
      <c r="P237" t="s">
        <v>478</v>
      </c>
      <c r="R237" t="s">
        <v>479</v>
      </c>
      <c r="T237">
        <v>42100</v>
      </c>
      <c r="U237" t="s">
        <v>282</v>
      </c>
      <c r="V237" t="s">
        <v>67</v>
      </c>
      <c r="W237" t="s">
        <v>480</v>
      </c>
      <c r="X237" t="s">
        <v>481</v>
      </c>
      <c r="Y237" t="s">
        <v>76</v>
      </c>
      <c r="Z237" t="str">
        <f>IF(COUNTA(A237:Y237)=0,"Blank","")</f>
        <v/>
      </c>
      <c r="AA237" s="4" t="str">
        <f>TEXT(F237,"mmmm")</f>
        <v>May</v>
      </c>
    </row>
    <row r="238" spans="1:27">
      <c r="A238">
        <v>10100</v>
      </c>
      <c r="B238">
        <v>30</v>
      </c>
      <c r="C238">
        <v>100</v>
      </c>
      <c r="D238">
        <v>3</v>
      </c>
      <c r="E238" s="1">
        <v>5151</v>
      </c>
      <c r="F238" s="3">
        <v>37627</v>
      </c>
      <c r="G238" t="s">
        <v>52</v>
      </c>
      <c r="H238">
        <v>1</v>
      </c>
      <c r="I238">
        <v>1</v>
      </c>
      <c r="J238">
        <v>2003</v>
      </c>
      <c r="K238" t="s">
        <v>12</v>
      </c>
      <c r="L238">
        <v>170</v>
      </c>
      <c r="M238" t="s">
        <v>603</v>
      </c>
      <c r="N238" t="s">
        <v>301</v>
      </c>
      <c r="O238">
        <v>6035558647</v>
      </c>
      <c r="P238" t="s">
        <v>302</v>
      </c>
      <c r="R238" t="s">
        <v>303</v>
      </c>
      <c r="S238" t="s">
        <v>304</v>
      </c>
      <c r="T238">
        <v>62005</v>
      </c>
      <c r="U238" t="s">
        <v>1</v>
      </c>
      <c r="V238" t="s">
        <v>58</v>
      </c>
      <c r="W238" t="s">
        <v>81</v>
      </c>
      <c r="X238" t="s">
        <v>300</v>
      </c>
      <c r="Y238" t="s">
        <v>76</v>
      </c>
      <c r="Z238" t="str">
        <f>IF(COUNTA(A238:Y238)=0,"Blank","")</f>
        <v/>
      </c>
      <c r="AA238" s="4" t="str">
        <f>TEXT(F238,"mmmm")</f>
        <v>January</v>
      </c>
    </row>
    <row r="239" spans="1:27">
      <c r="A239">
        <v>10124</v>
      </c>
      <c r="B239">
        <v>21</v>
      </c>
      <c r="C239">
        <v>100</v>
      </c>
      <c r="D239">
        <v>6</v>
      </c>
      <c r="E239" s="1">
        <v>2856</v>
      </c>
      <c r="F239" s="3">
        <v>37762</v>
      </c>
      <c r="G239" t="s">
        <v>52</v>
      </c>
      <c r="H239">
        <v>2</v>
      </c>
      <c r="I239">
        <v>5</v>
      </c>
      <c r="J239">
        <v>2003</v>
      </c>
      <c r="K239" t="s">
        <v>12</v>
      </c>
      <c r="L239">
        <v>170</v>
      </c>
      <c r="M239" t="s">
        <v>603</v>
      </c>
      <c r="N239" t="s">
        <v>561</v>
      </c>
      <c r="O239">
        <v>7025551838</v>
      </c>
      <c r="P239" t="s">
        <v>562</v>
      </c>
      <c r="R239" t="s">
        <v>563</v>
      </c>
      <c r="S239" t="s">
        <v>564</v>
      </c>
      <c r="T239">
        <v>83030</v>
      </c>
      <c r="U239" t="s">
        <v>1</v>
      </c>
      <c r="V239" t="s">
        <v>58</v>
      </c>
      <c r="W239" t="s">
        <v>138</v>
      </c>
      <c r="X239" t="s">
        <v>424</v>
      </c>
      <c r="Y239" t="s">
        <v>61</v>
      </c>
      <c r="Z239" t="str">
        <f>IF(COUNTA(A239:Y239)=0,"Blank","")</f>
        <v/>
      </c>
      <c r="AA239" s="4" t="str">
        <f>TEXT(F239,"mmmm")</f>
        <v>May</v>
      </c>
    </row>
    <row r="240" spans="1:27">
      <c r="A240">
        <v>10214</v>
      </c>
      <c r="B240">
        <v>30</v>
      </c>
      <c r="C240">
        <v>100</v>
      </c>
      <c r="D240">
        <v>7</v>
      </c>
      <c r="E240" s="1">
        <v>5967</v>
      </c>
      <c r="F240" s="3">
        <v>38012</v>
      </c>
      <c r="G240" t="s">
        <v>52</v>
      </c>
      <c r="H240">
        <v>1</v>
      </c>
      <c r="I240">
        <v>1</v>
      </c>
      <c r="J240">
        <v>2004</v>
      </c>
      <c r="K240" t="s">
        <v>12</v>
      </c>
      <c r="L240">
        <v>170</v>
      </c>
      <c r="M240" t="s">
        <v>603</v>
      </c>
      <c r="N240" t="s">
        <v>215</v>
      </c>
      <c r="O240" t="s">
        <v>216</v>
      </c>
      <c r="P240" t="s">
        <v>217</v>
      </c>
      <c r="R240" t="s">
        <v>202</v>
      </c>
      <c r="T240">
        <v>28023</v>
      </c>
      <c r="U240" t="s">
        <v>203</v>
      </c>
      <c r="V240" t="s">
        <v>67</v>
      </c>
      <c r="W240" t="s">
        <v>218</v>
      </c>
      <c r="X240" t="s">
        <v>219</v>
      </c>
      <c r="Y240" t="s">
        <v>76</v>
      </c>
      <c r="Z240" t="str">
        <f>IF(COUNTA(A240:Y240)=0,"Blank","")</f>
        <v/>
      </c>
      <c r="AA240" s="4" t="str">
        <f>TEXT(F240,"mmmm")</f>
        <v>January</v>
      </c>
    </row>
    <row r="241" spans="1:27">
      <c r="A241">
        <v>10302</v>
      </c>
      <c r="B241">
        <v>43</v>
      </c>
      <c r="C241">
        <v>100</v>
      </c>
      <c r="D241">
        <v>1</v>
      </c>
      <c r="E241" s="1">
        <v>7310</v>
      </c>
      <c r="F241" s="3">
        <v>37900</v>
      </c>
      <c r="G241" t="s">
        <v>52</v>
      </c>
      <c r="H241">
        <v>4</v>
      </c>
      <c r="I241">
        <v>10</v>
      </c>
      <c r="J241">
        <v>2003</v>
      </c>
      <c r="K241" t="s">
        <v>12</v>
      </c>
      <c r="L241">
        <v>170</v>
      </c>
      <c r="M241" t="s">
        <v>603</v>
      </c>
      <c r="N241" t="s">
        <v>190</v>
      </c>
      <c r="O241" t="s">
        <v>191</v>
      </c>
      <c r="P241" t="s">
        <v>192</v>
      </c>
      <c r="R241" t="s">
        <v>193</v>
      </c>
      <c r="T241" t="s">
        <v>194</v>
      </c>
      <c r="U241" t="s">
        <v>195</v>
      </c>
      <c r="V241" t="s">
        <v>67</v>
      </c>
      <c r="W241" t="s">
        <v>196</v>
      </c>
      <c r="X241" t="s">
        <v>197</v>
      </c>
      <c r="Y241" t="s">
        <v>176</v>
      </c>
      <c r="Z241" t="str">
        <f>IF(COUNTA(A241:Y241)=0,"Blank","")</f>
        <v/>
      </c>
      <c r="AA241" s="4" t="str">
        <f>TEXT(F241,"mmmm")</f>
        <v>October</v>
      </c>
    </row>
    <row r="242" spans="1:27">
      <c r="A242">
        <v>10344</v>
      </c>
      <c r="B242">
        <v>45</v>
      </c>
      <c r="C242">
        <v>100</v>
      </c>
      <c r="D242">
        <v>1</v>
      </c>
      <c r="E242" s="1">
        <v>7650</v>
      </c>
      <c r="F242" s="3">
        <v>38316</v>
      </c>
      <c r="G242" t="s">
        <v>52</v>
      </c>
      <c r="H242">
        <v>4</v>
      </c>
      <c r="I242">
        <v>11</v>
      </c>
      <c r="J242">
        <v>2004</v>
      </c>
      <c r="K242" t="s">
        <v>12</v>
      </c>
      <c r="L242">
        <v>170</v>
      </c>
      <c r="M242" t="s">
        <v>603</v>
      </c>
      <c r="N242" t="s">
        <v>457</v>
      </c>
      <c r="O242" t="s">
        <v>458</v>
      </c>
      <c r="P242" t="s">
        <v>459</v>
      </c>
      <c r="R242" t="s">
        <v>460</v>
      </c>
      <c r="T242">
        <v>13008</v>
      </c>
      <c r="U242" t="s">
        <v>66</v>
      </c>
      <c r="V242" t="s">
        <v>67</v>
      </c>
      <c r="W242" t="s">
        <v>461</v>
      </c>
      <c r="X242" t="s">
        <v>462</v>
      </c>
      <c r="Y242" t="s">
        <v>176</v>
      </c>
      <c r="Z242" t="str">
        <f>IF(COUNTA(A242:Y242)=0,"Blank","")</f>
        <v/>
      </c>
      <c r="AA242" s="4" t="str">
        <f>TEXT(F242,"mmmm")</f>
        <v>November</v>
      </c>
    </row>
    <row r="243" spans="1:27">
      <c r="A243">
        <v>10379</v>
      </c>
      <c r="B243">
        <v>39</v>
      </c>
      <c r="C243">
        <v>100</v>
      </c>
      <c r="D243">
        <v>2</v>
      </c>
      <c r="E243" s="1">
        <v>5399.55</v>
      </c>
      <c r="F243" s="3">
        <v>38393</v>
      </c>
      <c r="G243" t="s">
        <v>52</v>
      </c>
      <c r="H243">
        <v>1</v>
      </c>
      <c r="I243">
        <v>2</v>
      </c>
      <c r="J243">
        <v>2005</v>
      </c>
      <c r="K243" t="s">
        <v>12</v>
      </c>
      <c r="L243">
        <v>170</v>
      </c>
      <c r="M243" t="s">
        <v>603</v>
      </c>
      <c r="N243" t="s">
        <v>199</v>
      </c>
      <c r="O243" t="s">
        <v>200</v>
      </c>
      <c r="P243" t="s">
        <v>201</v>
      </c>
      <c r="R243" t="s">
        <v>202</v>
      </c>
      <c r="T243">
        <v>28034</v>
      </c>
      <c r="U243" t="s">
        <v>203</v>
      </c>
      <c r="V243" t="s">
        <v>67</v>
      </c>
      <c r="W243" t="s">
        <v>204</v>
      </c>
      <c r="X243" t="s">
        <v>205</v>
      </c>
      <c r="Y243" t="s">
        <v>76</v>
      </c>
      <c r="Z243" t="str">
        <f>IF(COUNTA(A243:Y243)=0,"Blank","")</f>
        <v/>
      </c>
      <c r="AA243" s="4" t="str">
        <f>TEXT(F243,"mmmm")</f>
        <v>February</v>
      </c>
    </row>
    <row r="244" spans="1:27">
      <c r="A244">
        <v>10420</v>
      </c>
      <c r="B244">
        <v>37</v>
      </c>
      <c r="C244">
        <v>100</v>
      </c>
      <c r="D244">
        <v>5</v>
      </c>
      <c r="E244" s="1">
        <v>5283.6</v>
      </c>
      <c r="F244" s="3">
        <v>38501</v>
      </c>
      <c r="G244" t="s">
        <v>324</v>
      </c>
      <c r="H244">
        <v>2</v>
      </c>
      <c r="I244">
        <v>5</v>
      </c>
      <c r="J244">
        <v>2005</v>
      </c>
      <c r="K244" t="s">
        <v>12</v>
      </c>
      <c r="L244">
        <v>170</v>
      </c>
      <c r="M244" t="s">
        <v>603</v>
      </c>
      <c r="N244" t="s">
        <v>177</v>
      </c>
      <c r="O244" t="s">
        <v>178</v>
      </c>
      <c r="P244" t="s">
        <v>179</v>
      </c>
      <c r="Q244" t="s">
        <v>180</v>
      </c>
      <c r="R244" t="s">
        <v>181</v>
      </c>
      <c r="S244" t="s">
        <v>182</v>
      </c>
      <c r="T244">
        <v>2067</v>
      </c>
      <c r="U244" t="s">
        <v>120</v>
      </c>
      <c r="V244" t="s">
        <v>121</v>
      </c>
      <c r="W244" t="s">
        <v>183</v>
      </c>
      <c r="X244" t="s">
        <v>184</v>
      </c>
      <c r="Y244" t="s">
        <v>76</v>
      </c>
      <c r="Z244" t="str">
        <f>IF(COUNTA(A244:Y244)=0,"Blank","")</f>
        <v/>
      </c>
      <c r="AA244" s="4" t="str">
        <f>TEXT(F244,"mmmm")</f>
        <v>May</v>
      </c>
    </row>
    <row r="245" spans="1:27">
      <c r="A245">
        <v>10366</v>
      </c>
      <c r="B245">
        <v>34</v>
      </c>
      <c r="C245">
        <v>100</v>
      </c>
      <c r="D245">
        <v>3</v>
      </c>
      <c r="E245" s="1">
        <v>4207.84</v>
      </c>
      <c r="F245" s="3">
        <v>38362</v>
      </c>
      <c r="G245" t="s">
        <v>52</v>
      </c>
      <c r="H245">
        <v>1</v>
      </c>
      <c r="I245">
        <v>1</v>
      </c>
      <c r="J245">
        <v>2005</v>
      </c>
      <c r="K245" t="s">
        <v>0</v>
      </c>
      <c r="L245">
        <v>142</v>
      </c>
      <c r="M245" t="s">
        <v>604</v>
      </c>
      <c r="N245" t="s">
        <v>596</v>
      </c>
      <c r="O245" t="s">
        <v>597</v>
      </c>
      <c r="P245" t="s">
        <v>598</v>
      </c>
      <c r="R245" t="s">
        <v>599</v>
      </c>
      <c r="T245" t="s">
        <v>600</v>
      </c>
      <c r="U245" t="s">
        <v>394</v>
      </c>
      <c r="V245" t="s">
        <v>67</v>
      </c>
      <c r="W245" t="s">
        <v>601</v>
      </c>
      <c r="X245" t="s">
        <v>602</v>
      </c>
      <c r="Y245" t="s">
        <v>76</v>
      </c>
      <c r="Z245" t="str">
        <f>IF(COUNTA(A245:Y245)=0,"Blank","")</f>
        <v/>
      </c>
      <c r="AA245" s="4" t="str">
        <f>TEXT(F245,"mmmm")</f>
        <v>January</v>
      </c>
    </row>
    <row r="246" spans="1:27">
      <c r="A246">
        <v>10303</v>
      </c>
      <c r="B246">
        <v>46</v>
      </c>
      <c r="C246">
        <v>49.04</v>
      </c>
      <c r="D246">
        <v>2</v>
      </c>
      <c r="E246" s="1">
        <v>2255.84</v>
      </c>
      <c r="F246" s="3">
        <v>38266</v>
      </c>
      <c r="G246" t="s">
        <v>52</v>
      </c>
      <c r="H246">
        <v>4</v>
      </c>
      <c r="I246">
        <v>10</v>
      </c>
      <c r="J246">
        <v>2004</v>
      </c>
      <c r="K246" t="s">
        <v>12</v>
      </c>
      <c r="L246">
        <v>60</v>
      </c>
      <c r="M246" t="s">
        <v>605</v>
      </c>
      <c r="N246" t="s">
        <v>543</v>
      </c>
      <c r="O246" t="s">
        <v>544</v>
      </c>
      <c r="P246" t="s">
        <v>545</v>
      </c>
      <c r="R246" t="s">
        <v>546</v>
      </c>
      <c r="T246">
        <v>41101</v>
      </c>
      <c r="U246" t="s">
        <v>203</v>
      </c>
      <c r="V246" t="s">
        <v>67</v>
      </c>
      <c r="W246" t="s">
        <v>547</v>
      </c>
      <c r="X246" t="s">
        <v>548</v>
      </c>
      <c r="Y246" t="s">
        <v>61</v>
      </c>
      <c r="Z246" t="str">
        <f>IF(COUNTA(A246:Y246)=0,"Blank","")</f>
        <v/>
      </c>
      <c r="AA246" s="4" t="str">
        <f>TEXT(F246,"mmmm")</f>
        <v>October</v>
      </c>
    </row>
    <row r="247" spans="1:27">
      <c r="A247">
        <v>10383</v>
      </c>
      <c r="B247">
        <v>27</v>
      </c>
      <c r="C247">
        <v>100</v>
      </c>
      <c r="D247">
        <v>11</v>
      </c>
      <c r="E247" s="1">
        <v>3843.99</v>
      </c>
      <c r="F247" s="3">
        <v>38405</v>
      </c>
      <c r="G247" t="s">
        <v>52</v>
      </c>
      <c r="H247">
        <v>1</v>
      </c>
      <c r="I247">
        <v>2</v>
      </c>
      <c r="J247">
        <v>2005</v>
      </c>
      <c r="K247" t="s">
        <v>11</v>
      </c>
      <c r="L247">
        <v>122</v>
      </c>
      <c r="M247" t="s">
        <v>606</v>
      </c>
      <c r="N247" t="s">
        <v>199</v>
      </c>
      <c r="O247" t="s">
        <v>200</v>
      </c>
      <c r="P247" t="s">
        <v>201</v>
      </c>
      <c r="R247" t="s">
        <v>202</v>
      </c>
      <c r="T247">
        <v>28034</v>
      </c>
      <c r="U247" t="s">
        <v>203</v>
      </c>
      <c r="V247" t="s">
        <v>67</v>
      </c>
      <c r="W247" t="s">
        <v>204</v>
      </c>
      <c r="X247" t="s">
        <v>205</v>
      </c>
      <c r="Y247" t="s">
        <v>76</v>
      </c>
      <c r="Z247" t="str">
        <f>IF(COUNTA(A247:Y247)=0,"Blank","")</f>
        <v/>
      </c>
      <c r="AA247" s="4" t="str">
        <f>TEXT(F247,"mmmm")</f>
        <v>February</v>
      </c>
    </row>
    <row r="248" spans="1:27">
      <c r="A248">
        <v>10101</v>
      </c>
      <c r="B248">
        <v>25</v>
      </c>
      <c r="C248">
        <v>100</v>
      </c>
      <c r="D248">
        <v>4</v>
      </c>
      <c r="E248" s="1">
        <v>3782</v>
      </c>
      <c r="F248" s="3">
        <v>37630</v>
      </c>
      <c r="G248" t="s">
        <v>52</v>
      </c>
      <c r="H248">
        <v>1</v>
      </c>
      <c r="I248">
        <v>1</v>
      </c>
      <c r="J248">
        <v>2003</v>
      </c>
      <c r="K248" t="s">
        <v>12</v>
      </c>
      <c r="L248">
        <v>127</v>
      </c>
      <c r="M248" t="s">
        <v>607</v>
      </c>
      <c r="N248" t="s">
        <v>486</v>
      </c>
      <c r="O248" t="s">
        <v>487</v>
      </c>
      <c r="P248" t="s">
        <v>488</v>
      </c>
      <c r="R248" t="s">
        <v>489</v>
      </c>
      <c r="T248">
        <v>60528</v>
      </c>
      <c r="U248" t="s">
        <v>467</v>
      </c>
      <c r="V248" t="s">
        <v>67</v>
      </c>
      <c r="W248" t="s">
        <v>490</v>
      </c>
      <c r="X248" t="s">
        <v>438</v>
      </c>
      <c r="Y248" t="s">
        <v>76</v>
      </c>
      <c r="Z248" t="str">
        <f>IF(COUNTA(A248:Y248)=0,"Blank","")</f>
        <v/>
      </c>
      <c r="AA248" s="4" t="str">
        <f>TEXT(F248,"mmmm")</f>
        <v>January</v>
      </c>
    </row>
    <row r="249" spans="1:27">
      <c r="A249">
        <v>10243</v>
      </c>
      <c r="B249">
        <v>47</v>
      </c>
      <c r="C249">
        <v>100</v>
      </c>
      <c r="D249">
        <v>2</v>
      </c>
      <c r="E249" s="1">
        <v>6154.18</v>
      </c>
      <c r="F249" s="3">
        <v>38103</v>
      </c>
      <c r="G249" t="s">
        <v>52</v>
      </c>
      <c r="H249">
        <v>2</v>
      </c>
      <c r="I249">
        <v>4</v>
      </c>
      <c r="J249">
        <v>2004</v>
      </c>
      <c r="K249" t="s">
        <v>12</v>
      </c>
      <c r="L249">
        <v>127</v>
      </c>
      <c r="M249" t="s">
        <v>607</v>
      </c>
      <c r="N249" t="s">
        <v>439</v>
      </c>
      <c r="O249">
        <v>6175552555</v>
      </c>
      <c r="P249" t="s">
        <v>440</v>
      </c>
      <c r="R249" t="s">
        <v>405</v>
      </c>
      <c r="S249" t="s">
        <v>148</v>
      </c>
      <c r="T249">
        <v>51003</v>
      </c>
      <c r="U249" t="s">
        <v>1</v>
      </c>
      <c r="V249" t="s">
        <v>58</v>
      </c>
      <c r="W249" t="s">
        <v>441</v>
      </c>
      <c r="X249" t="s">
        <v>300</v>
      </c>
      <c r="Y249" t="s">
        <v>76</v>
      </c>
      <c r="Z249" t="str">
        <f>IF(COUNTA(A249:Y249)=0,"Blank","")</f>
        <v/>
      </c>
      <c r="AA249" s="4" t="str">
        <f>TEXT(F249,"mmmm")</f>
        <v>April</v>
      </c>
    </row>
    <row r="250" spans="1:27">
      <c r="A250">
        <v>10409</v>
      </c>
      <c r="B250">
        <v>6</v>
      </c>
      <c r="C250">
        <v>100</v>
      </c>
      <c r="D250">
        <v>2</v>
      </c>
      <c r="E250" s="1">
        <v>785.64</v>
      </c>
      <c r="F250" s="3">
        <v>38465</v>
      </c>
      <c r="G250" t="s">
        <v>52</v>
      </c>
      <c r="H250">
        <v>2</v>
      </c>
      <c r="I250">
        <v>4</v>
      </c>
      <c r="J250">
        <v>2005</v>
      </c>
      <c r="K250" t="s">
        <v>12</v>
      </c>
      <c r="L250">
        <v>127</v>
      </c>
      <c r="M250" t="s">
        <v>607</v>
      </c>
      <c r="N250" t="s">
        <v>442</v>
      </c>
      <c r="O250" t="s">
        <v>443</v>
      </c>
      <c r="P250" t="s">
        <v>444</v>
      </c>
      <c r="Q250" t="s">
        <v>445</v>
      </c>
      <c r="R250" t="s">
        <v>223</v>
      </c>
      <c r="T250">
        <v>69045</v>
      </c>
      <c r="U250" t="s">
        <v>223</v>
      </c>
      <c r="V250" t="s">
        <v>121</v>
      </c>
      <c r="W250" t="s">
        <v>446</v>
      </c>
      <c r="X250" t="s">
        <v>447</v>
      </c>
      <c r="Y250" t="s">
        <v>61</v>
      </c>
      <c r="Z250" t="str">
        <f>IF(COUNTA(A250:Y250)=0,"Blank","")</f>
        <v/>
      </c>
      <c r="AA250" s="4" t="str">
        <f>TEXT(F250,"mmmm")</f>
        <v>April</v>
      </c>
    </row>
    <row r="251" spans="1:27">
      <c r="A251">
        <v>10133</v>
      </c>
      <c r="B251">
        <v>49</v>
      </c>
      <c r="C251">
        <v>69.27</v>
      </c>
      <c r="D251">
        <v>3</v>
      </c>
      <c r="E251" s="1">
        <v>3394.23</v>
      </c>
      <c r="F251" s="3">
        <v>37799</v>
      </c>
      <c r="G251" t="s">
        <v>52</v>
      </c>
      <c r="H251">
        <v>2</v>
      </c>
      <c r="I251">
        <v>6</v>
      </c>
      <c r="J251">
        <v>2003</v>
      </c>
      <c r="K251" t="s">
        <v>8</v>
      </c>
      <c r="L251">
        <v>84</v>
      </c>
      <c r="M251" t="s">
        <v>608</v>
      </c>
      <c r="N251" t="s">
        <v>199</v>
      </c>
      <c r="O251" t="s">
        <v>200</v>
      </c>
      <c r="P251" t="s">
        <v>201</v>
      </c>
      <c r="R251" t="s">
        <v>202</v>
      </c>
      <c r="T251">
        <v>28034</v>
      </c>
      <c r="U251" t="s">
        <v>203</v>
      </c>
      <c r="V251" t="s">
        <v>67</v>
      </c>
      <c r="W251" t="s">
        <v>204</v>
      </c>
      <c r="X251" t="s">
        <v>205</v>
      </c>
      <c r="Y251" t="s">
        <v>76</v>
      </c>
      <c r="Z251" t="str">
        <f>IF(COUNTA(A251:Y251)=0,"Blank","")</f>
        <v/>
      </c>
      <c r="AA251" s="4" t="str">
        <f>TEXT(F251,"mmmm")</f>
        <v>June</v>
      </c>
    </row>
    <row r="252" spans="1:27">
      <c r="A252">
        <v>10235</v>
      </c>
      <c r="B252">
        <v>24</v>
      </c>
      <c r="C252">
        <v>76.03</v>
      </c>
      <c r="D252">
        <v>3</v>
      </c>
      <c r="E252" s="1">
        <v>1824.72</v>
      </c>
      <c r="F252" s="3">
        <v>38079</v>
      </c>
      <c r="G252" t="s">
        <v>52</v>
      </c>
      <c r="H252">
        <v>2</v>
      </c>
      <c r="I252">
        <v>4</v>
      </c>
      <c r="J252">
        <v>2004</v>
      </c>
      <c r="K252" t="s">
        <v>8</v>
      </c>
      <c r="L252">
        <v>84</v>
      </c>
      <c r="M252" t="s">
        <v>608</v>
      </c>
      <c r="N252" t="s">
        <v>397</v>
      </c>
      <c r="O252" t="s">
        <v>398</v>
      </c>
      <c r="P252" t="s">
        <v>399</v>
      </c>
      <c r="R252" t="s">
        <v>400</v>
      </c>
      <c r="S252" t="s">
        <v>253</v>
      </c>
      <c r="T252" t="s">
        <v>401</v>
      </c>
      <c r="U252" t="s">
        <v>255</v>
      </c>
      <c r="V252" t="s">
        <v>58</v>
      </c>
      <c r="W252" t="s">
        <v>402</v>
      </c>
      <c r="X252" t="s">
        <v>197</v>
      </c>
      <c r="Y252" t="s">
        <v>61</v>
      </c>
      <c r="Z252" t="str">
        <f>IF(COUNTA(A252:Y252)=0,"Blank","")</f>
        <v/>
      </c>
      <c r="AA252" s="4" t="str">
        <f>TEXT(F252,"mmmm")</f>
        <v>April</v>
      </c>
    </row>
    <row r="253" spans="1:27">
      <c r="A253">
        <v>10297</v>
      </c>
      <c r="B253">
        <v>25</v>
      </c>
      <c r="C253">
        <v>82.79</v>
      </c>
      <c r="D253">
        <v>4</v>
      </c>
      <c r="E253" s="1">
        <v>2069.75</v>
      </c>
      <c r="F253" s="3">
        <v>38246</v>
      </c>
      <c r="G253" t="s">
        <v>52</v>
      </c>
      <c r="H253">
        <v>3</v>
      </c>
      <c r="I253">
        <v>9</v>
      </c>
      <c r="J253">
        <v>2004</v>
      </c>
      <c r="K253" t="s">
        <v>8</v>
      </c>
      <c r="L253">
        <v>84</v>
      </c>
      <c r="M253" t="s">
        <v>608</v>
      </c>
      <c r="N253" t="s">
        <v>503</v>
      </c>
      <c r="O253" t="s">
        <v>504</v>
      </c>
      <c r="P253" t="s">
        <v>505</v>
      </c>
      <c r="Q253" t="s">
        <v>506</v>
      </c>
      <c r="R253" t="s">
        <v>507</v>
      </c>
      <c r="T253">
        <v>2</v>
      </c>
      <c r="U253" t="s">
        <v>508</v>
      </c>
      <c r="V253" t="s">
        <v>67</v>
      </c>
      <c r="W253" t="s">
        <v>509</v>
      </c>
      <c r="X253" t="s">
        <v>510</v>
      </c>
      <c r="Y253" t="s">
        <v>61</v>
      </c>
      <c r="Z253" t="str">
        <f>IF(COUNTA(A253:Y253)=0,"Blank","")</f>
        <v/>
      </c>
      <c r="AA253" s="4" t="str">
        <f>TEXT(F253,"mmmm")</f>
        <v>September</v>
      </c>
    </row>
    <row r="254" spans="1:27">
      <c r="A254">
        <v>10353</v>
      </c>
      <c r="B254">
        <v>27</v>
      </c>
      <c r="C254">
        <v>100</v>
      </c>
      <c r="D254">
        <v>1</v>
      </c>
      <c r="E254" s="1">
        <v>3515.67</v>
      </c>
      <c r="F254" s="3">
        <v>38325</v>
      </c>
      <c r="G254" t="s">
        <v>52</v>
      </c>
      <c r="H254">
        <v>4</v>
      </c>
      <c r="I254">
        <v>12</v>
      </c>
      <c r="J254">
        <v>2004</v>
      </c>
      <c r="K254" t="s">
        <v>8</v>
      </c>
      <c r="L254">
        <v>84</v>
      </c>
      <c r="M254" t="s">
        <v>608</v>
      </c>
      <c r="N254" t="s">
        <v>587</v>
      </c>
      <c r="O254">
        <v>2035554407</v>
      </c>
      <c r="P254" t="s">
        <v>588</v>
      </c>
      <c r="R254" t="s">
        <v>539</v>
      </c>
      <c r="S254" t="s">
        <v>137</v>
      </c>
      <c r="T254">
        <v>97561</v>
      </c>
      <c r="U254" t="s">
        <v>1</v>
      </c>
      <c r="V254" t="s">
        <v>58</v>
      </c>
      <c r="W254" t="s">
        <v>589</v>
      </c>
      <c r="X254" t="s">
        <v>590</v>
      </c>
      <c r="Y254" t="s">
        <v>76</v>
      </c>
      <c r="Z254" t="str">
        <f>IF(COUNTA(A254:Y254)=0,"Blank","")</f>
        <v/>
      </c>
      <c r="AA254" s="4" t="str">
        <f>TEXT(F254,"mmmm")</f>
        <v>December</v>
      </c>
    </row>
    <row r="255" spans="1:27">
      <c r="A255">
        <v>10401</v>
      </c>
      <c r="B255">
        <v>42</v>
      </c>
      <c r="C255">
        <v>76.03</v>
      </c>
      <c r="D255">
        <v>3</v>
      </c>
      <c r="E255" s="1">
        <v>3193.26</v>
      </c>
      <c r="F255" s="3">
        <v>38445</v>
      </c>
      <c r="G255" t="s">
        <v>425</v>
      </c>
      <c r="H255">
        <v>2</v>
      </c>
      <c r="I255">
        <v>4</v>
      </c>
      <c r="J255">
        <v>2005</v>
      </c>
      <c r="K255" t="s">
        <v>8</v>
      </c>
      <c r="L255">
        <v>84</v>
      </c>
      <c r="M255" t="s">
        <v>608</v>
      </c>
      <c r="N255" t="s">
        <v>129</v>
      </c>
      <c r="O255">
        <v>2015559350</v>
      </c>
      <c r="P255" t="s">
        <v>130</v>
      </c>
      <c r="R255" t="s">
        <v>131</v>
      </c>
      <c r="S255" t="s">
        <v>132</v>
      </c>
      <c r="T255">
        <v>94019</v>
      </c>
      <c r="U255" t="s">
        <v>1</v>
      </c>
      <c r="V255" t="s">
        <v>58</v>
      </c>
      <c r="W255" t="s">
        <v>86</v>
      </c>
      <c r="X255" t="s">
        <v>133</v>
      </c>
      <c r="Y255" t="s">
        <v>76</v>
      </c>
      <c r="Z255" t="str">
        <f>IF(COUNTA(A255:Y255)=0,"Blank","")</f>
        <v/>
      </c>
      <c r="AA255" s="4" t="str">
        <f>TEXT(F255,"mmmm")</f>
        <v>April</v>
      </c>
    </row>
    <row r="256" spans="1:27">
      <c r="A256">
        <v>10255</v>
      </c>
      <c r="B256">
        <v>24</v>
      </c>
      <c r="C256">
        <v>100</v>
      </c>
      <c r="D256">
        <v>1</v>
      </c>
      <c r="E256" s="1">
        <v>3726</v>
      </c>
      <c r="F256" s="3">
        <v>38142</v>
      </c>
      <c r="G256" t="s">
        <v>52</v>
      </c>
      <c r="H256">
        <v>2</v>
      </c>
      <c r="I256">
        <v>6</v>
      </c>
      <c r="J256">
        <v>2004</v>
      </c>
      <c r="K256" t="s">
        <v>12</v>
      </c>
      <c r="L256">
        <v>168</v>
      </c>
      <c r="M256" t="s">
        <v>609</v>
      </c>
      <c r="N256" t="s">
        <v>554</v>
      </c>
      <c r="O256" t="s">
        <v>555</v>
      </c>
      <c r="P256" t="s">
        <v>556</v>
      </c>
      <c r="R256" t="s">
        <v>557</v>
      </c>
      <c r="T256">
        <v>67000</v>
      </c>
      <c r="U256" t="s">
        <v>66</v>
      </c>
      <c r="V256" t="s">
        <v>67</v>
      </c>
      <c r="W256" t="s">
        <v>558</v>
      </c>
      <c r="X256" t="s">
        <v>559</v>
      </c>
      <c r="Y256" t="s">
        <v>76</v>
      </c>
      <c r="Z256" t="str">
        <f>IF(COUNTA(A256:Y256)=0,"Blank","")</f>
        <v/>
      </c>
      <c r="AA256" s="4" t="str">
        <f>TEXT(F256,"mmmm")</f>
        <v>June</v>
      </c>
    </row>
    <row r="257" spans="1:27">
      <c r="A257">
        <v>10421</v>
      </c>
      <c r="B257">
        <v>35</v>
      </c>
      <c r="C257">
        <v>100</v>
      </c>
      <c r="D257">
        <v>1</v>
      </c>
      <c r="E257" s="1">
        <v>5433.75</v>
      </c>
      <c r="F257" s="3">
        <v>38501</v>
      </c>
      <c r="G257" t="s">
        <v>324</v>
      </c>
      <c r="H257">
        <v>2</v>
      </c>
      <c r="I257">
        <v>5</v>
      </c>
      <c r="J257">
        <v>2005</v>
      </c>
      <c r="K257" t="s">
        <v>12</v>
      </c>
      <c r="L257">
        <v>168</v>
      </c>
      <c r="M257" t="s">
        <v>609</v>
      </c>
      <c r="N257" t="s">
        <v>296</v>
      </c>
      <c r="O257">
        <v>4155551450</v>
      </c>
      <c r="P257" t="s">
        <v>297</v>
      </c>
      <c r="R257" t="s">
        <v>298</v>
      </c>
      <c r="S257" t="s">
        <v>80</v>
      </c>
      <c r="T257">
        <v>97562</v>
      </c>
      <c r="U257" t="s">
        <v>1</v>
      </c>
      <c r="V257" t="s">
        <v>58</v>
      </c>
      <c r="W257" t="s">
        <v>299</v>
      </c>
      <c r="X257" t="s">
        <v>300</v>
      </c>
      <c r="Y257" t="s">
        <v>76</v>
      </c>
      <c r="Z257" t="str">
        <f>IF(COUNTA(A257:Y257)=0,"Blank","")</f>
        <v/>
      </c>
      <c r="AA257" s="4" t="str">
        <f>TEXT(F257,"mmmm")</f>
        <v>May</v>
      </c>
    </row>
    <row r="258" spans="1:27">
      <c r="A258">
        <v>10257</v>
      </c>
      <c r="B258">
        <v>50</v>
      </c>
      <c r="C258">
        <v>88.14</v>
      </c>
      <c r="D258">
        <v>1</v>
      </c>
      <c r="E258" s="1">
        <v>4407</v>
      </c>
      <c r="F258" s="3">
        <v>38152</v>
      </c>
      <c r="G258" t="s">
        <v>52</v>
      </c>
      <c r="H258">
        <v>2</v>
      </c>
      <c r="I258">
        <v>6</v>
      </c>
      <c r="J258">
        <v>2004</v>
      </c>
      <c r="K258" t="s">
        <v>12</v>
      </c>
      <c r="L258">
        <v>101</v>
      </c>
      <c r="M258" t="s">
        <v>610</v>
      </c>
      <c r="N258" t="s">
        <v>421</v>
      </c>
      <c r="O258">
        <v>4085553659</v>
      </c>
      <c r="P258" t="s">
        <v>422</v>
      </c>
      <c r="R258" t="s">
        <v>423</v>
      </c>
      <c r="S258" t="s">
        <v>80</v>
      </c>
      <c r="T258">
        <v>94217</v>
      </c>
      <c r="U258" t="s">
        <v>1</v>
      </c>
      <c r="V258" t="s">
        <v>58</v>
      </c>
      <c r="W258" t="s">
        <v>127</v>
      </c>
      <c r="X258" t="s">
        <v>424</v>
      </c>
      <c r="Y258" t="s">
        <v>76</v>
      </c>
      <c r="Z258" t="str">
        <f>IF(COUNTA(A258:Y258)=0,"Blank","")</f>
        <v/>
      </c>
      <c r="AA258" s="4" t="str">
        <f>TEXT(F258,"mmmm")</f>
        <v>June</v>
      </c>
    </row>
    <row r="259" spans="1:27">
      <c r="A259">
        <v>10423</v>
      </c>
      <c r="B259">
        <v>10</v>
      </c>
      <c r="C259">
        <v>88.14</v>
      </c>
      <c r="D259">
        <v>1</v>
      </c>
      <c r="E259" s="1">
        <v>881.4</v>
      </c>
      <c r="F259" s="3">
        <v>38502</v>
      </c>
      <c r="G259" t="s">
        <v>324</v>
      </c>
      <c r="H259">
        <v>2</v>
      </c>
      <c r="I259">
        <v>5</v>
      </c>
      <c r="J259">
        <v>2005</v>
      </c>
      <c r="K259" t="s">
        <v>12</v>
      </c>
      <c r="L259">
        <v>101</v>
      </c>
      <c r="M259" t="s">
        <v>610</v>
      </c>
      <c r="N259" t="s">
        <v>389</v>
      </c>
      <c r="O259" t="s">
        <v>390</v>
      </c>
      <c r="P259" t="s">
        <v>391</v>
      </c>
      <c r="R259" t="s">
        <v>392</v>
      </c>
      <c r="T259" t="s">
        <v>393</v>
      </c>
      <c r="U259" t="s">
        <v>394</v>
      </c>
      <c r="V259" t="s">
        <v>67</v>
      </c>
      <c r="W259" t="s">
        <v>395</v>
      </c>
      <c r="X259" t="s">
        <v>396</v>
      </c>
      <c r="Y259" t="s">
        <v>61</v>
      </c>
      <c r="Z259" t="str">
        <f>IF(COUNTA(A259:Y259)=0,"Blank","")</f>
        <v/>
      </c>
      <c r="AA259" s="4" t="str">
        <f>TEXT(F259,"mmmm")</f>
        <v>May</v>
      </c>
    </row>
    <row r="260" spans="1:27">
      <c r="A260">
        <v>10269</v>
      </c>
      <c r="B260">
        <v>32</v>
      </c>
      <c r="C260">
        <v>63.08</v>
      </c>
      <c r="D260">
        <v>1</v>
      </c>
      <c r="E260" s="1">
        <v>2018.56</v>
      </c>
      <c r="F260" s="3">
        <v>38184</v>
      </c>
      <c r="G260" t="s">
        <v>52</v>
      </c>
      <c r="H260">
        <v>3</v>
      </c>
      <c r="I260">
        <v>7</v>
      </c>
      <c r="J260">
        <v>2004</v>
      </c>
      <c r="K260" t="s">
        <v>12</v>
      </c>
      <c r="L260">
        <v>62</v>
      </c>
      <c r="M260" t="s">
        <v>611</v>
      </c>
      <c r="N260" t="s">
        <v>169</v>
      </c>
      <c r="O260" t="s">
        <v>170</v>
      </c>
      <c r="P260" t="s">
        <v>171</v>
      </c>
      <c r="R260" t="s">
        <v>172</v>
      </c>
      <c r="T260">
        <v>5020</v>
      </c>
      <c r="U260" t="s">
        <v>173</v>
      </c>
      <c r="V260" t="s">
        <v>67</v>
      </c>
      <c r="W260" t="s">
        <v>174</v>
      </c>
      <c r="X260" t="s">
        <v>175</v>
      </c>
      <c r="Y260" t="s">
        <v>61</v>
      </c>
      <c r="Z260" t="str">
        <f>IF(COUNTA(A260:Y260)=0,"Blank","")</f>
        <v/>
      </c>
      <c r="AA260" s="4" t="str">
        <f>TEXT(F260,"mmmm")</f>
        <v>July</v>
      </c>
    </row>
    <row r="261" spans="1:27">
      <c r="A261">
        <v>10392</v>
      </c>
      <c r="B261">
        <v>37</v>
      </c>
      <c r="C261">
        <v>59.96</v>
      </c>
      <c r="D261">
        <v>3</v>
      </c>
      <c r="E261" s="1">
        <v>2218.52</v>
      </c>
      <c r="F261" s="3">
        <v>38421</v>
      </c>
      <c r="G261" t="s">
        <v>52</v>
      </c>
      <c r="H261">
        <v>1</v>
      </c>
      <c r="I261">
        <v>3</v>
      </c>
      <c r="J261">
        <v>2005</v>
      </c>
      <c r="K261" t="s">
        <v>12</v>
      </c>
      <c r="L261">
        <v>62</v>
      </c>
      <c r="M261" t="s">
        <v>611</v>
      </c>
      <c r="N261" t="s">
        <v>433</v>
      </c>
      <c r="O261" t="s">
        <v>434</v>
      </c>
      <c r="P261" t="s">
        <v>435</v>
      </c>
      <c r="R261" t="s">
        <v>436</v>
      </c>
      <c r="T261">
        <v>8010</v>
      </c>
      <c r="U261" t="s">
        <v>173</v>
      </c>
      <c r="V261" t="s">
        <v>67</v>
      </c>
      <c r="W261" t="s">
        <v>437</v>
      </c>
      <c r="X261" t="s">
        <v>438</v>
      </c>
      <c r="Y261" t="s">
        <v>61</v>
      </c>
      <c r="Z261" t="str">
        <f>IF(COUNTA(A261:Y261)=0,"Blank","")</f>
        <v/>
      </c>
      <c r="AA261" s="4" t="str">
        <f>TEXT(F261,"mmmm")</f>
        <v>March</v>
      </c>
    </row>
    <row r="262" spans="1:27">
      <c r="A262">
        <v>10130</v>
      </c>
      <c r="B262">
        <v>40</v>
      </c>
      <c r="C262">
        <v>96.34</v>
      </c>
      <c r="D262">
        <v>2</v>
      </c>
      <c r="E262" s="1">
        <v>3853.6</v>
      </c>
      <c r="F262" s="3">
        <v>37788</v>
      </c>
      <c r="G262" t="s">
        <v>52</v>
      </c>
      <c r="H262">
        <v>2</v>
      </c>
      <c r="I262">
        <v>6</v>
      </c>
      <c r="J262">
        <v>2003</v>
      </c>
      <c r="K262" t="s">
        <v>9</v>
      </c>
      <c r="L262">
        <v>86</v>
      </c>
      <c r="M262" t="s">
        <v>612</v>
      </c>
      <c r="N262" t="s">
        <v>613</v>
      </c>
      <c r="O262">
        <v>6175558428</v>
      </c>
      <c r="P262" t="s">
        <v>614</v>
      </c>
      <c r="R262" t="s">
        <v>307</v>
      </c>
      <c r="S262" t="s">
        <v>148</v>
      </c>
      <c r="T262">
        <v>58339</v>
      </c>
      <c r="U262" t="s">
        <v>1</v>
      </c>
      <c r="V262" t="s">
        <v>58</v>
      </c>
      <c r="W262" t="s">
        <v>552</v>
      </c>
      <c r="X262" t="s">
        <v>269</v>
      </c>
      <c r="Y262" t="s">
        <v>76</v>
      </c>
      <c r="Z262" t="str">
        <f>IF(COUNTA(A262:Y262)=0,"Blank","")</f>
        <v/>
      </c>
      <c r="AA262" s="4" t="str">
        <f>TEXT(F262,"mmmm")</f>
        <v>June</v>
      </c>
    </row>
    <row r="263" spans="1:27">
      <c r="A263">
        <v>10128</v>
      </c>
      <c r="B263">
        <v>41</v>
      </c>
      <c r="C263">
        <v>100</v>
      </c>
      <c r="D263">
        <v>2</v>
      </c>
      <c r="E263" s="1">
        <v>5544.02</v>
      </c>
      <c r="F263" s="3">
        <v>37778</v>
      </c>
      <c r="G263" t="s">
        <v>52</v>
      </c>
      <c r="H263">
        <v>2</v>
      </c>
      <c r="I263">
        <v>6</v>
      </c>
      <c r="J263">
        <v>2003</v>
      </c>
      <c r="K263" t="s">
        <v>12</v>
      </c>
      <c r="L263">
        <v>136</v>
      </c>
      <c r="M263" t="s">
        <v>615</v>
      </c>
      <c r="N263" t="s">
        <v>199</v>
      </c>
      <c r="O263" t="s">
        <v>200</v>
      </c>
      <c r="P263" t="s">
        <v>201</v>
      </c>
      <c r="R263" t="s">
        <v>202</v>
      </c>
      <c r="T263">
        <v>28034</v>
      </c>
      <c r="U263" t="s">
        <v>203</v>
      </c>
      <c r="V263" t="s">
        <v>67</v>
      </c>
      <c r="W263" t="s">
        <v>204</v>
      </c>
      <c r="X263" t="s">
        <v>205</v>
      </c>
      <c r="Y263" t="s">
        <v>76</v>
      </c>
      <c r="Z263" t="str">
        <f>IF(COUNTA(A263:Y263)=0,"Blank","")</f>
        <v/>
      </c>
      <c r="AA263" s="4" t="str">
        <f>TEXT(F263,"mmmm")</f>
        <v>June</v>
      </c>
    </row>
    <row r="264" spans="1:27">
      <c r="A264">
        <v>10166</v>
      </c>
      <c r="B264">
        <v>43</v>
      </c>
      <c r="C264">
        <v>100</v>
      </c>
      <c r="D264">
        <v>2</v>
      </c>
      <c r="E264" s="1">
        <v>6930.74</v>
      </c>
      <c r="F264" s="3">
        <v>37915</v>
      </c>
      <c r="G264" t="s">
        <v>52</v>
      </c>
      <c r="H264">
        <v>4</v>
      </c>
      <c r="I264">
        <v>10</v>
      </c>
      <c r="J264">
        <v>2003</v>
      </c>
      <c r="K264" t="s">
        <v>12</v>
      </c>
      <c r="L264">
        <v>136</v>
      </c>
      <c r="M264" t="s">
        <v>615</v>
      </c>
      <c r="N264" t="s">
        <v>185</v>
      </c>
      <c r="O264">
        <v>5085552555</v>
      </c>
      <c r="P264" t="s">
        <v>186</v>
      </c>
      <c r="R264" t="s">
        <v>187</v>
      </c>
      <c r="S264" t="s">
        <v>148</v>
      </c>
      <c r="T264">
        <v>50553</v>
      </c>
      <c r="U264" t="s">
        <v>1</v>
      </c>
      <c r="V264" t="s">
        <v>58</v>
      </c>
      <c r="W264" t="s">
        <v>188</v>
      </c>
      <c r="X264" t="s">
        <v>189</v>
      </c>
      <c r="Y264" t="s">
        <v>76</v>
      </c>
      <c r="Z264" t="str">
        <f>IF(COUNTA(A264:Y264)=0,"Blank","")</f>
        <v/>
      </c>
      <c r="AA264" s="4" t="str">
        <f>TEXT(F264,"mmmm")</f>
        <v>October</v>
      </c>
    </row>
    <row r="265" spans="1:27">
      <c r="A265">
        <v>10177</v>
      </c>
      <c r="B265">
        <v>23</v>
      </c>
      <c r="C265">
        <v>100</v>
      </c>
      <c r="D265">
        <v>9</v>
      </c>
      <c r="E265" s="1">
        <v>3675.63</v>
      </c>
      <c r="F265" s="3">
        <v>37932</v>
      </c>
      <c r="G265" t="s">
        <v>52</v>
      </c>
      <c r="H265">
        <v>4</v>
      </c>
      <c r="I265">
        <v>11</v>
      </c>
      <c r="J265">
        <v>2003</v>
      </c>
      <c r="K265" t="s">
        <v>12</v>
      </c>
      <c r="L265">
        <v>136</v>
      </c>
      <c r="M265" t="s">
        <v>615</v>
      </c>
      <c r="N265" t="s">
        <v>511</v>
      </c>
      <c r="O265" t="s">
        <v>512</v>
      </c>
      <c r="P265" t="s">
        <v>513</v>
      </c>
      <c r="R265" t="s">
        <v>202</v>
      </c>
      <c r="T265">
        <v>28023</v>
      </c>
      <c r="U265" t="s">
        <v>203</v>
      </c>
      <c r="V265" t="s">
        <v>67</v>
      </c>
      <c r="W265" t="s">
        <v>514</v>
      </c>
      <c r="X265" t="s">
        <v>515</v>
      </c>
      <c r="Y265" t="s">
        <v>76</v>
      </c>
      <c r="Z265" t="str">
        <f>IF(COUNTA(A265:Y265)=0,"Blank","")</f>
        <v/>
      </c>
      <c r="AA265" s="4" t="str">
        <f>TEXT(F265,"mmmm")</f>
        <v>November</v>
      </c>
    </row>
    <row r="266" spans="1:27">
      <c r="A266">
        <v>10221</v>
      </c>
      <c r="B266">
        <v>33</v>
      </c>
      <c r="C266">
        <v>100</v>
      </c>
      <c r="D266">
        <v>3</v>
      </c>
      <c r="E266" s="1">
        <v>4417.38</v>
      </c>
      <c r="F266" s="3">
        <v>38035</v>
      </c>
      <c r="G266" t="s">
        <v>52</v>
      </c>
      <c r="H266">
        <v>1</v>
      </c>
      <c r="I266">
        <v>2</v>
      </c>
      <c r="J266">
        <v>2004</v>
      </c>
      <c r="K266" t="s">
        <v>12</v>
      </c>
      <c r="L266">
        <v>136</v>
      </c>
      <c r="M266" t="s">
        <v>615</v>
      </c>
      <c r="N266" t="s">
        <v>389</v>
      </c>
      <c r="O266" t="s">
        <v>390</v>
      </c>
      <c r="P266" t="s">
        <v>391</v>
      </c>
      <c r="R266" t="s">
        <v>392</v>
      </c>
      <c r="T266" t="s">
        <v>393</v>
      </c>
      <c r="U266" t="s">
        <v>394</v>
      </c>
      <c r="V266" t="s">
        <v>67</v>
      </c>
      <c r="W266" t="s">
        <v>395</v>
      </c>
      <c r="X266" t="s">
        <v>396</v>
      </c>
      <c r="Y266" t="s">
        <v>76</v>
      </c>
      <c r="Z266" t="str">
        <f>IF(COUNTA(A266:Y266)=0,"Blank","")</f>
        <v/>
      </c>
      <c r="AA266" s="4" t="str">
        <f>TEXT(F266,"mmmm")</f>
        <v>February</v>
      </c>
    </row>
    <row r="267" spans="1:27">
      <c r="A267">
        <v>10232</v>
      </c>
      <c r="B267">
        <v>22</v>
      </c>
      <c r="C267">
        <v>100</v>
      </c>
      <c r="D267">
        <v>6</v>
      </c>
      <c r="E267" s="1">
        <v>3606.02</v>
      </c>
      <c r="F267" s="3">
        <v>38066</v>
      </c>
      <c r="G267" t="s">
        <v>52</v>
      </c>
      <c r="H267">
        <v>1</v>
      </c>
      <c r="I267">
        <v>3</v>
      </c>
      <c r="J267">
        <v>2004</v>
      </c>
      <c r="K267" t="s">
        <v>12</v>
      </c>
      <c r="L267">
        <v>136</v>
      </c>
      <c r="M267" t="s">
        <v>615</v>
      </c>
      <c r="N267" t="s">
        <v>407</v>
      </c>
      <c r="O267" t="s">
        <v>408</v>
      </c>
      <c r="P267" t="s">
        <v>409</v>
      </c>
      <c r="R267" t="s">
        <v>410</v>
      </c>
      <c r="S267" t="s">
        <v>411</v>
      </c>
      <c r="T267" t="s">
        <v>412</v>
      </c>
      <c r="U267" t="s">
        <v>195</v>
      </c>
      <c r="V267" t="s">
        <v>67</v>
      </c>
      <c r="W267" t="s">
        <v>413</v>
      </c>
      <c r="X267" t="s">
        <v>414</v>
      </c>
      <c r="Y267" t="s">
        <v>76</v>
      </c>
      <c r="Z267" t="str">
        <f>IF(COUNTA(A267:Y267)=0,"Blank","")</f>
        <v/>
      </c>
      <c r="AA267" s="4" t="str">
        <f>TEXT(F267,"mmmm")</f>
        <v>March</v>
      </c>
    </row>
    <row r="268" spans="1:27">
      <c r="A268">
        <v>10394</v>
      </c>
      <c r="B268">
        <v>22</v>
      </c>
      <c r="C268">
        <v>100</v>
      </c>
      <c r="D268">
        <v>5</v>
      </c>
      <c r="E268" s="1">
        <v>3353.02</v>
      </c>
      <c r="F268" s="3">
        <v>38426</v>
      </c>
      <c r="G268" t="s">
        <v>52</v>
      </c>
      <c r="H268">
        <v>1</v>
      </c>
      <c r="I268">
        <v>3</v>
      </c>
      <c r="J268">
        <v>2005</v>
      </c>
      <c r="K268" t="s">
        <v>0</v>
      </c>
      <c r="L268">
        <v>169</v>
      </c>
      <c r="M268" t="s">
        <v>616</v>
      </c>
      <c r="N268" t="s">
        <v>199</v>
      </c>
      <c r="O268" t="s">
        <v>200</v>
      </c>
      <c r="P268" t="s">
        <v>201</v>
      </c>
      <c r="R268" t="s">
        <v>202</v>
      </c>
      <c r="T268">
        <v>28034</v>
      </c>
      <c r="U268" t="s">
        <v>203</v>
      </c>
      <c r="V268" t="s">
        <v>67</v>
      </c>
      <c r="W268" t="s">
        <v>204</v>
      </c>
      <c r="X268" t="s">
        <v>205</v>
      </c>
      <c r="Y268" t="s">
        <v>76</v>
      </c>
      <c r="Z268" t="str">
        <f>IF(COUNTA(A268:Y268)=0,"Blank","")</f>
        <v/>
      </c>
      <c r="AA268" s="4" t="str">
        <f>TEXT(F268,"mmmm")</f>
        <v>March</v>
      </c>
    </row>
    <row r="269" spans="1:27">
      <c r="A269">
        <v>10326</v>
      </c>
      <c r="B269">
        <v>32</v>
      </c>
      <c r="C269">
        <v>100</v>
      </c>
      <c r="D269">
        <v>6</v>
      </c>
      <c r="E269" s="1">
        <v>3807.68</v>
      </c>
      <c r="F269" s="3">
        <v>38300</v>
      </c>
      <c r="G269" t="s">
        <v>52</v>
      </c>
      <c r="H269">
        <v>4</v>
      </c>
      <c r="I269">
        <v>11</v>
      </c>
      <c r="J269">
        <v>2004</v>
      </c>
      <c r="K269" t="s">
        <v>10</v>
      </c>
      <c r="L269">
        <v>100</v>
      </c>
      <c r="M269" t="s">
        <v>617</v>
      </c>
      <c r="N269" t="s">
        <v>207</v>
      </c>
      <c r="O269" t="s">
        <v>208</v>
      </c>
      <c r="P269" t="s">
        <v>209</v>
      </c>
      <c r="R269" t="s">
        <v>210</v>
      </c>
      <c r="T269" t="s">
        <v>211</v>
      </c>
      <c r="U269" t="s">
        <v>212</v>
      </c>
      <c r="V269" t="s">
        <v>67</v>
      </c>
      <c r="W269" t="s">
        <v>213</v>
      </c>
      <c r="X269" t="s">
        <v>214</v>
      </c>
      <c r="Y269" t="s">
        <v>76</v>
      </c>
      <c r="Z269" t="str">
        <f>IF(COUNTA(A269:Y269)=0,"Blank","")</f>
        <v/>
      </c>
      <c r="AA269" s="4" t="str">
        <f>TEXT(F269,"mmmm")</f>
        <v>November</v>
      </c>
    </row>
    <row r="270" spans="1:27">
      <c r="A270">
        <v>10252</v>
      </c>
      <c r="B270">
        <v>20</v>
      </c>
      <c r="C270">
        <v>76.39</v>
      </c>
      <c r="D270">
        <v>2</v>
      </c>
      <c r="E270" s="1">
        <v>1527.8</v>
      </c>
      <c r="F270" s="3">
        <v>38133</v>
      </c>
      <c r="G270" t="s">
        <v>52</v>
      </c>
      <c r="H270">
        <v>2</v>
      </c>
      <c r="I270">
        <v>5</v>
      </c>
      <c r="J270">
        <v>2004</v>
      </c>
      <c r="K270" t="s">
        <v>0</v>
      </c>
      <c r="L270">
        <v>80</v>
      </c>
      <c r="M270" t="s">
        <v>618</v>
      </c>
      <c r="N270" t="s">
        <v>109</v>
      </c>
      <c r="O270" t="s">
        <v>110</v>
      </c>
      <c r="P270" t="s">
        <v>111</v>
      </c>
      <c r="R270" t="s">
        <v>73</v>
      </c>
      <c r="T270">
        <v>75016</v>
      </c>
      <c r="U270" t="s">
        <v>66</v>
      </c>
      <c r="V270" t="s">
        <v>67</v>
      </c>
      <c r="W270" t="s">
        <v>112</v>
      </c>
      <c r="X270" t="s">
        <v>113</v>
      </c>
      <c r="Y270" t="s">
        <v>61</v>
      </c>
      <c r="Z270" t="str">
        <f>IF(COUNTA(A270:Y270)=0,"Blank","")</f>
        <v/>
      </c>
      <c r="AA270" s="4" t="str">
        <f>TEXT(F270,"mmmm")</f>
        <v>May</v>
      </c>
    </row>
    <row r="271" spans="1:27">
      <c r="A271">
        <v>10265</v>
      </c>
      <c r="B271">
        <v>45</v>
      </c>
      <c r="C271">
        <v>86.84</v>
      </c>
      <c r="D271">
        <v>2</v>
      </c>
      <c r="E271" s="1">
        <v>3907.8</v>
      </c>
      <c r="F271" s="3">
        <v>38170</v>
      </c>
      <c r="G271" t="s">
        <v>52</v>
      </c>
      <c r="H271">
        <v>3</v>
      </c>
      <c r="I271">
        <v>7</v>
      </c>
      <c r="J271">
        <v>2004</v>
      </c>
      <c r="K271" t="s">
        <v>0</v>
      </c>
      <c r="L271">
        <v>80</v>
      </c>
      <c r="M271" t="s">
        <v>618</v>
      </c>
      <c r="N271" t="s">
        <v>579</v>
      </c>
      <c r="O271" t="s">
        <v>580</v>
      </c>
      <c r="P271" t="s">
        <v>581</v>
      </c>
      <c r="R271" t="s">
        <v>582</v>
      </c>
      <c r="S271" t="s">
        <v>119</v>
      </c>
      <c r="T271">
        <v>3150</v>
      </c>
      <c r="U271" t="s">
        <v>120</v>
      </c>
      <c r="V271" t="s">
        <v>121</v>
      </c>
      <c r="W271" t="s">
        <v>583</v>
      </c>
      <c r="X271" t="s">
        <v>584</v>
      </c>
      <c r="Y271" t="s">
        <v>76</v>
      </c>
      <c r="Z271" t="str">
        <f>IF(COUNTA(A271:Y271)=0,"Blank","")</f>
        <v/>
      </c>
      <c r="AA271" s="4" t="str">
        <f>TEXT(F271,"mmmm")</f>
        <v>July</v>
      </c>
    </row>
    <row r="272" spans="1:27">
      <c r="A272">
        <v>10290</v>
      </c>
      <c r="B272">
        <v>26</v>
      </c>
      <c r="C272">
        <v>96.23</v>
      </c>
      <c r="D272">
        <v>2</v>
      </c>
      <c r="E272" s="1">
        <v>2501.98</v>
      </c>
      <c r="F272" s="3">
        <v>38237</v>
      </c>
      <c r="G272" t="s">
        <v>52</v>
      </c>
      <c r="H272">
        <v>3</v>
      </c>
      <c r="I272">
        <v>9</v>
      </c>
      <c r="J272">
        <v>2004</v>
      </c>
      <c r="K272" t="s">
        <v>12</v>
      </c>
      <c r="L272">
        <v>99</v>
      </c>
      <c r="M272" t="s">
        <v>619</v>
      </c>
      <c r="N272" t="s">
        <v>613</v>
      </c>
      <c r="O272">
        <v>6175558428</v>
      </c>
      <c r="P272" t="s">
        <v>614</v>
      </c>
      <c r="R272" t="s">
        <v>307</v>
      </c>
      <c r="S272" t="s">
        <v>148</v>
      </c>
      <c r="T272">
        <v>58339</v>
      </c>
      <c r="U272" t="s">
        <v>1</v>
      </c>
      <c r="V272" t="s">
        <v>58</v>
      </c>
      <c r="W272" t="s">
        <v>552</v>
      </c>
      <c r="X272" t="s">
        <v>269</v>
      </c>
      <c r="Y272" t="s">
        <v>61</v>
      </c>
      <c r="Z272" t="str">
        <f>IF(COUNTA(A272:Y272)=0,"Blank","")</f>
        <v/>
      </c>
      <c r="AA272" s="4" t="str">
        <f>TEXT(F272,"mmmm")</f>
        <v>September</v>
      </c>
    </row>
    <row r="273" spans="1:27">
      <c r="A273">
        <v>10323</v>
      </c>
      <c r="B273">
        <v>33</v>
      </c>
      <c r="C273">
        <v>91.27</v>
      </c>
      <c r="D273">
        <v>2</v>
      </c>
      <c r="E273" s="1">
        <v>3011.91</v>
      </c>
      <c r="F273" s="3">
        <v>38296</v>
      </c>
      <c r="G273" t="s">
        <v>52</v>
      </c>
      <c r="H273">
        <v>4</v>
      </c>
      <c r="I273">
        <v>11</v>
      </c>
      <c r="J273">
        <v>2004</v>
      </c>
      <c r="K273" t="s">
        <v>12</v>
      </c>
      <c r="L273">
        <v>99</v>
      </c>
      <c r="M273" t="s">
        <v>619</v>
      </c>
      <c r="N273" t="s">
        <v>486</v>
      </c>
      <c r="O273" t="s">
        <v>487</v>
      </c>
      <c r="P273" t="s">
        <v>488</v>
      </c>
      <c r="R273" t="s">
        <v>489</v>
      </c>
      <c r="T273">
        <v>60528</v>
      </c>
      <c r="U273" t="s">
        <v>467</v>
      </c>
      <c r="V273" t="s">
        <v>67</v>
      </c>
      <c r="W273" t="s">
        <v>490</v>
      </c>
      <c r="X273" t="s">
        <v>438</v>
      </c>
      <c r="Y273" t="s">
        <v>76</v>
      </c>
      <c r="Z273" t="str">
        <f>IF(COUNTA(A273:Y273)=0,"Blank","")</f>
        <v/>
      </c>
      <c r="AA273" s="4" t="str">
        <f>TEXT(F273,"mmmm")</f>
        <v>November</v>
      </c>
    </row>
    <row r="274" spans="1:27">
      <c r="A274">
        <v>10330</v>
      </c>
      <c r="B274">
        <v>37</v>
      </c>
      <c r="C274">
        <v>100</v>
      </c>
      <c r="D274">
        <v>3</v>
      </c>
      <c r="E274" s="1">
        <v>4405.22</v>
      </c>
      <c r="F274" s="3">
        <v>38307</v>
      </c>
      <c r="G274" t="s">
        <v>52</v>
      </c>
      <c r="H274">
        <v>4</v>
      </c>
      <c r="I274">
        <v>11</v>
      </c>
      <c r="J274">
        <v>2004</v>
      </c>
      <c r="K274" t="s">
        <v>0</v>
      </c>
      <c r="L274">
        <v>146</v>
      </c>
      <c r="M274" t="s">
        <v>620</v>
      </c>
      <c r="N274" t="s">
        <v>449</v>
      </c>
      <c r="O274" t="s">
        <v>450</v>
      </c>
      <c r="P274" t="s">
        <v>451</v>
      </c>
      <c r="R274" t="s">
        <v>452</v>
      </c>
      <c r="T274" t="s">
        <v>453</v>
      </c>
      <c r="U274" t="s">
        <v>454</v>
      </c>
      <c r="V274" t="s">
        <v>224</v>
      </c>
      <c r="W274" t="s">
        <v>455</v>
      </c>
      <c r="X274" t="s">
        <v>456</v>
      </c>
      <c r="Y274" t="s">
        <v>76</v>
      </c>
      <c r="Z274" t="str">
        <f>IF(COUNTA(A274:Y274)=0,"Blank","")</f>
        <v/>
      </c>
      <c r="AA274" s="4" t="str">
        <f>TEXT(F274,"mmmm")</f>
        <v>November</v>
      </c>
    </row>
    <row r="275" spans="1:27">
      <c r="A275">
        <v>10355</v>
      </c>
      <c r="B275">
        <v>23</v>
      </c>
      <c r="C275">
        <v>100</v>
      </c>
      <c r="D275">
        <v>7</v>
      </c>
      <c r="E275" s="1">
        <v>3177.91</v>
      </c>
      <c r="F275" s="3">
        <v>38328</v>
      </c>
      <c r="G275" t="s">
        <v>52</v>
      </c>
      <c r="H275">
        <v>4</v>
      </c>
      <c r="I275">
        <v>12</v>
      </c>
      <c r="J275">
        <v>2004</v>
      </c>
      <c r="K275" t="s">
        <v>0</v>
      </c>
      <c r="L275">
        <v>146</v>
      </c>
      <c r="M275" t="s">
        <v>620</v>
      </c>
      <c r="N275" t="s">
        <v>199</v>
      </c>
      <c r="O275" t="s">
        <v>200</v>
      </c>
      <c r="P275" t="s">
        <v>201</v>
      </c>
      <c r="R275" t="s">
        <v>202</v>
      </c>
      <c r="T275">
        <v>28034</v>
      </c>
      <c r="U275" t="s">
        <v>203</v>
      </c>
      <c r="V275" t="s">
        <v>67</v>
      </c>
      <c r="W275" t="s">
        <v>204</v>
      </c>
      <c r="X275" t="s">
        <v>205</v>
      </c>
      <c r="Y275" t="s">
        <v>76</v>
      </c>
      <c r="Z275" t="str">
        <f>IF(COUNTA(A275:Y275)=0,"Blank","")</f>
        <v/>
      </c>
      <c r="AA275" s="4" t="str">
        <f>TEXT(F275,"mmmm")</f>
        <v>December</v>
      </c>
    </row>
    <row r="276" spans="1:27">
      <c r="A276">
        <v>10146</v>
      </c>
      <c r="B276">
        <v>47</v>
      </c>
      <c r="C276">
        <v>67.14</v>
      </c>
      <c r="D276">
        <v>2</v>
      </c>
      <c r="E276" s="1">
        <v>3155.58</v>
      </c>
      <c r="F276" s="3">
        <v>37867</v>
      </c>
      <c r="G276" t="s">
        <v>52</v>
      </c>
      <c r="H276">
        <v>3</v>
      </c>
      <c r="I276">
        <v>9</v>
      </c>
      <c r="J276">
        <v>2003</v>
      </c>
      <c r="K276" t="s">
        <v>7</v>
      </c>
      <c r="L276">
        <v>62</v>
      </c>
      <c r="M276" t="s">
        <v>621</v>
      </c>
      <c r="N276" t="s">
        <v>587</v>
      </c>
      <c r="O276">
        <v>2035554407</v>
      </c>
      <c r="P276" t="s">
        <v>588</v>
      </c>
      <c r="R276" t="s">
        <v>539</v>
      </c>
      <c r="S276" t="s">
        <v>137</v>
      </c>
      <c r="T276">
        <v>97561</v>
      </c>
      <c r="U276" t="s">
        <v>1</v>
      </c>
      <c r="V276" t="s">
        <v>58</v>
      </c>
      <c r="W276" t="s">
        <v>589</v>
      </c>
      <c r="X276" t="s">
        <v>590</v>
      </c>
      <c r="Y276" t="s">
        <v>76</v>
      </c>
      <c r="Z276" t="str">
        <f>IF(COUNTA(A276:Y276)=0,"Blank","")</f>
        <v/>
      </c>
      <c r="AA276" s="4" t="str">
        <f>TEXT(F276,"mmmm")</f>
        <v>September</v>
      </c>
    </row>
    <row r="277" spans="1:27">
      <c r="A277">
        <v>10264</v>
      </c>
      <c r="B277">
        <v>48</v>
      </c>
      <c r="C277">
        <v>54.71</v>
      </c>
      <c r="D277">
        <v>3</v>
      </c>
      <c r="E277" s="1">
        <v>2626.08</v>
      </c>
      <c r="F277" s="3">
        <v>38168</v>
      </c>
      <c r="G277" t="s">
        <v>52</v>
      </c>
      <c r="H277">
        <v>2</v>
      </c>
      <c r="I277">
        <v>6</v>
      </c>
      <c r="J277">
        <v>2004</v>
      </c>
      <c r="K277" t="s">
        <v>7</v>
      </c>
      <c r="L277">
        <v>62</v>
      </c>
      <c r="M277" t="s">
        <v>621</v>
      </c>
      <c r="N277" t="s">
        <v>403</v>
      </c>
      <c r="O277">
        <v>6175559555</v>
      </c>
      <c r="P277" t="s">
        <v>404</v>
      </c>
      <c r="R277" t="s">
        <v>405</v>
      </c>
      <c r="S277" t="s">
        <v>148</v>
      </c>
      <c r="T277">
        <v>51003</v>
      </c>
      <c r="U277" t="s">
        <v>1</v>
      </c>
      <c r="V277" t="s">
        <v>58</v>
      </c>
      <c r="W277" t="s">
        <v>406</v>
      </c>
      <c r="X277" t="s">
        <v>91</v>
      </c>
      <c r="Y277" t="s">
        <v>61</v>
      </c>
      <c r="Z277" t="str">
        <f>IF(COUNTA(A277:Y277)=0,"Blank","")</f>
        <v/>
      </c>
      <c r="AA277" s="4" t="str">
        <f>TEXT(F277,"mmmm")</f>
        <v>June</v>
      </c>
    </row>
    <row r="278" spans="1:27">
      <c r="A278">
        <v>10286</v>
      </c>
      <c r="B278">
        <v>38</v>
      </c>
      <c r="C278">
        <v>57.2</v>
      </c>
      <c r="D278">
        <v>1</v>
      </c>
      <c r="E278" s="1">
        <v>2173.6</v>
      </c>
      <c r="F278" s="3">
        <v>38227</v>
      </c>
      <c r="G278" t="s">
        <v>52</v>
      </c>
      <c r="H278">
        <v>3</v>
      </c>
      <c r="I278">
        <v>8</v>
      </c>
      <c r="J278">
        <v>2004</v>
      </c>
      <c r="K278" t="s">
        <v>7</v>
      </c>
      <c r="L278">
        <v>62</v>
      </c>
      <c r="M278" t="s">
        <v>621</v>
      </c>
      <c r="N278" t="s">
        <v>427</v>
      </c>
      <c r="O278" t="s">
        <v>428</v>
      </c>
      <c r="P278" t="s">
        <v>429</v>
      </c>
      <c r="R278" t="s">
        <v>73</v>
      </c>
      <c r="T278">
        <v>75012</v>
      </c>
      <c r="U278" t="s">
        <v>66</v>
      </c>
      <c r="V278" t="s">
        <v>67</v>
      </c>
      <c r="W278" t="s">
        <v>430</v>
      </c>
      <c r="X278" t="s">
        <v>431</v>
      </c>
      <c r="Y278" t="s">
        <v>61</v>
      </c>
      <c r="Z278" t="str">
        <f>IF(COUNTA(A278:Y278)=0,"Blank","")</f>
        <v/>
      </c>
      <c r="AA278" s="4" t="str">
        <f>TEXT(F278,"mmmm")</f>
        <v>August</v>
      </c>
    </row>
    <row r="279" spans="1:27">
      <c r="A279">
        <v>10249</v>
      </c>
      <c r="B279">
        <v>46</v>
      </c>
      <c r="C279">
        <v>100</v>
      </c>
      <c r="D279">
        <v>5</v>
      </c>
      <c r="E279" s="1">
        <v>5600.5</v>
      </c>
      <c r="F279" s="3">
        <v>38115</v>
      </c>
      <c r="G279" t="s">
        <v>52</v>
      </c>
      <c r="H279">
        <v>2</v>
      </c>
      <c r="I279">
        <v>5</v>
      </c>
      <c r="J279">
        <v>2004</v>
      </c>
      <c r="K279" t="s">
        <v>12</v>
      </c>
      <c r="L279">
        <v>105</v>
      </c>
      <c r="M279" t="s">
        <v>622</v>
      </c>
      <c r="N279" t="s">
        <v>263</v>
      </c>
      <c r="O279">
        <v>6175555555</v>
      </c>
      <c r="P279" t="s">
        <v>264</v>
      </c>
      <c r="R279" t="s">
        <v>147</v>
      </c>
      <c r="S279" t="s">
        <v>148</v>
      </c>
      <c r="T279">
        <v>51247</v>
      </c>
      <c r="U279" t="s">
        <v>1</v>
      </c>
      <c r="V279" t="s">
        <v>58</v>
      </c>
      <c r="W279" t="s">
        <v>265</v>
      </c>
      <c r="X279" t="s">
        <v>168</v>
      </c>
      <c r="Y279" t="s">
        <v>76</v>
      </c>
      <c r="Z279" t="str">
        <f>IF(COUNTA(A279:Y279)=0,"Blank","")</f>
        <v/>
      </c>
      <c r="AA279" s="4" t="str">
        <f>TEXT(F279,"mmmm")</f>
        <v>May</v>
      </c>
    </row>
    <row r="280" spans="1:27">
      <c r="A280">
        <v>10328</v>
      </c>
      <c r="B280">
        <v>34</v>
      </c>
      <c r="C280">
        <v>100</v>
      </c>
      <c r="D280">
        <v>6</v>
      </c>
      <c r="E280" s="1">
        <v>3815.48</v>
      </c>
      <c r="F280" s="3">
        <v>38303</v>
      </c>
      <c r="G280" t="s">
        <v>52</v>
      </c>
      <c r="H280">
        <v>4</v>
      </c>
      <c r="I280">
        <v>11</v>
      </c>
      <c r="J280">
        <v>2004</v>
      </c>
      <c r="K280" t="s">
        <v>12</v>
      </c>
      <c r="L280">
        <v>105</v>
      </c>
      <c r="M280" t="s">
        <v>622</v>
      </c>
      <c r="N280" t="s">
        <v>573</v>
      </c>
      <c r="O280" t="s">
        <v>574</v>
      </c>
      <c r="P280" t="s">
        <v>575</v>
      </c>
      <c r="R280" t="s">
        <v>576</v>
      </c>
      <c r="T280">
        <v>24100</v>
      </c>
      <c r="U280" t="s">
        <v>282</v>
      </c>
      <c r="V280" t="s">
        <v>67</v>
      </c>
      <c r="W280" t="s">
        <v>577</v>
      </c>
      <c r="X280" t="s">
        <v>578</v>
      </c>
      <c r="Y280" t="s">
        <v>76</v>
      </c>
      <c r="Z280" t="str">
        <f>IF(COUNTA(A280:Y280)=0,"Blank","")</f>
        <v/>
      </c>
      <c r="AA280" s="4" t="str">
        <f>TEXT(F280,"mmmm")</f>
        <v>November</v>
      </c>
    </row>
    <row r="281" spans="1:27">
      <c r="A281">
        <v>10415</v>
      </c>
      <c r="B281">
        <v>51</v>
      </c>
      <c r="C281">
        <v>100</v>
      </c>
      <c r="D281">
        <v>5</v>
      </c>
      <c r="E281" s="1">
        <v>6209.25</v>
      </c>
      <c r="F281" s="3">
        <v>38481</v>
      </c>
      <c r="G281" t="s">
        <v>198</v>
      </c>
      <c r="H281">
        <v>2</v>
      </c>
      <c r="I281">
        <v>5</v>
      </c>
      <c r="J281">
        <v>2005</v>
      </c>
      <c r="K281" t="s">
        <v>12</v>
      </c>
      <c r="L281">
        <v>105</v>
      </c>
      <c r="M281" t="s">
        <v>622</v>
      </c>
      <c r="N281" t="s">
        <v>579</v>
      </c>
      <c r="O281" t="s">
        <v>580</v>
      </c>
      <c r="P281" t="s">
        <v>581</v>
      </c>
      <c r="R281" t="s">
        <v>582</v>
      </c>
      <c r="S281" t="s">
        <v>119</v>
      </c>
      <c r="T281">
        <v>3150</v>
      </c>
      <c r="U281" t="s">
        <v>120</v>
      </c>
      <c r="V281" t="s">
        <v>121</v>
      </c>
      <c r="W281" t="s">
        <v>583</v>
      </c>
      <c r="X281" t="s">
        <v>584</v>
      </c>
      <c r="Y281" t="s">
        <v>76</v>
      </c>
      <c r="Z281" t="str">
        <f>IF(COUNTA(A281:Y281)=0,"Blank","")</f>
        <v/>
      </c>
      <c r="AA281" s="4" t="str">
        <f>TEXT(F281,"mmmm")</f>
        <v>May</v>
      </c>
    </row>
    <row r="282" spans="1:27">
      <c r="A282">
        <v>10152</v>
      </c>
      <c r="B282">
        <v>35</v>
      </c>
      <c r="C282">
        <v>100</v>
      </c>
      <c r="D282">
        <v>1</v>
      </c>
      <c r="E282" s="1">
        <v>4524.1000000000004</v>
      </c>
      <c r="F282" s="3">
        <v>37889</v>
      </c>
      <c r="G282" t="s">
        <v>52</v>
      </c>
      <c r="H282">
        <v>3</v>
      </c>
      <c r="I282">
        <v>9</v>
      </c>
      <c r="J282">
        <v>2003</v>
      </c>
      <c r="K282" t="s">
        <v>0</v>
      </c>
      <c r="L282">
        <v>143</v>
      </c>
      <c r="M282" t="s">
        <v>623</v>
      </c>
      <c r="N282" t="s">
        <v>231</v>
      </c>
      <c r="O282" t="s">
        <v>232</v>
      </c>
      <c r="P282" t="s">
        <v>233</v>
      </c>
      <c r="R282" t="s">
        <v>234</v>
      </c>
      <c r="S282" t="s">
        <v>235</v>
      </c>
      <c r="T282">
        <v>4101</v>
      </c>
      <c r="U282" t="s">
        <v>120</v>
      </c>
      <c r="V282" t="s">
        <v>121</v>
      </c>
      <c r="W282" t="s">
        <v>236</v>
      </c>
      <c r="X282" t="s">
        <v>237</v>
      </c>
      <c r="Y282" t="s">
        <v>76</v>
      </c>
      <c r="Z282" t="str">
        <f>IF(COUNTA(A282:Y282)=0,"Blank","")</f>
        <v/>
      </c>
      <c r="AA282" s="4" t="str">
        <f>TEXT(F282,"mmmm")</f>
        <v>September</v>
      </c>
    </row>
    <row r="283" spans="1:27">
      <c r="A283">
        <v>10213</v>
      </c>
      <c r="B283">
        <v>38</v>
      </c>
      <c r="C283">
        <v>94.79</v>
      </c>
      <c r="D283">
        <v>1</v>
      </c>
      <c r="E283" s="1">
        <v>3602.02</v>
      </c>
      <c r="F283" s="3">
        <v>38008</v>
      </c>
      <c r="G283" t="s">
        <v>52</v>
      </c>
      <c r="H283">
        <v>1</v>
      </c>
      <c r="I283">
        <v>1</v>
      </c>
      <c r="J283">
        <v>2004</v>
      </c>
      <c r="K283" t="s">
        <v>12</v>
      </c>
      <c r="L283">
        <v>92</v>
      </c>
      <c r="M283" t="s">
        <v>624</v>
      </c>
      <c r="N283" t="s">
        <v>370</v>
      </c>
      <c r="O283" t="s">
        <v>371</v>
      </c>
      <c r="P283" t="s">
        <v>372</v>
      </c>
      <c r="R283" t="s">
        <v>356</v>
      </c>
      <c r="T283" t="s">
        <v>373</v>
      </c>
      <c r="U283" t="s">
        <v>195</v>
      </c>
      <c r="V283" t="s">
        <v>67</v>
      </c>
      <c r="W283" t="s">
        <v>374</v>
      </c>
      <c r="X283" t="s">
        <v>375</v>
      </c>
      <c r="Y283" t="s">
        <v>76</v>
      </c>
      <c r="Z283" t="str">
        <f>IF(COUNTA(A283:Y283)=0,"Blank","")</f>
        <v/>
      </c>
      <c r="AA283" s="4" t="str">
        <f>TEXT(F283,"mmmm")</f>
        <v>January</v>
      </c>
    </row>
    <row r="284" spans="1:27">
      <c r="A284">
        <v>10315</v>
      </c>
      <c r="B284">
        <v>36</v>
      </c>
      <c r="C284">
        <v>100</v>
      </c>
      <c r="D284">
        <v>7</v>
      </c>
      <c r="E284" s="1">
        <v>3602.16</v>
      </c>
      <c r="F284" s="3">
        <v>38289</v>
      </c>
      <c r="G284" t="s">
        <v>52</v>
      </c>
      <c r="H284">
        <v>4</v>
      </c>
      <c r="I284">
        <v>10</v>
      </c>
      <c r="J284">
        <v>2004</v>
      </c>
      <c r="K284" t="s">
        <v>12</v>
      </c>
      <c r="L284">
        <v>87</v>
      </c>
      <c r="M284" t="s">
        <v>625</v>
      </c>
      <c r="N284" t="s">
        <v>139</v>
      </c>
      <c r="O284" t="s">
        <v>140</v>
      </c>
      <c r="P284" t="s">
        <v>141</v>
      </c>
      <c r="R284" t="s">
        <v>142</v>
      </c>
      <c r="T284">
        <v>44000</v>
      </c>
      <c r="U284" t="s">
        <v>66</v>
      </c>
      <c r="V284" t="s">
        <v>67</v>
      </c>
      <c r="W284" t="s">
        <v>143</v>
      </c>
      <c r="X284" t="s">
        <v>144</v>
      </c>
      <c r="Y284" t="s">
        <v>76</v>
      </c>
      <c r="Z284" t="str">
        <f>IF(COUNTA(A284:Y284)=0,"Blank","")</f>
        <v/>
      </c>
      <c r="AA284" s="4" t="str">
        <f>TEXT(F284,"mmmm")</f>
        <v>October</v>
      </c>
    </row>
    <row r="285" spans="1:27">
      <c r="A285">
        <v>10267</v>
      </c>
      <c r="B285">
        <v>36</v>
      </c>
      <c r="C285">
        <v>75.55</v>
      </c>
      <c r="D285">
        <v>1</v>
      </c>
      <c r="E285" s="1">
        <v>2719.8</v>
      </c>
      <c r="F285" s="3">
        <v>38175</v>
      </c>
      <c r="G285" t="s">
        <v>52</v>
      </c>
      <c r="H285">
        <v>3</v>
      </c>
      <c r="I285">
        <v>7</v>
      </c>
      <c r="J285">
        <v>2004</v>
      </c>
      <c r="K285" t="s">
        <v>0</v>
      </c>
      <c r="L285">
        <v>71</v>
      </c>
      <c r="M285" t="s">
        <v>626</v>
      </c>
      <c r="N285" t="s">
        <v>499</v>
      </c>
      <c r="O285">
        <v>2125557413</v>
      </c>
      <c r="P285" t="s">
        <v>500</v>
      </c>
      <c r="Q285" t="s">
        <v>501</v>
      </c>
      <c r="R285" t="s">
        <v>56</v>
      </c>
      <c r="S285" t="s">
        <v>57</v>
      </c>
      <c r="T285">
        <v>10022</v>
      </c>
      <c r="U285" t="s">
        <v>1</v>
      </c>
      <c r="V285" t="s">
        <v>58</v>
      </c>
      <c r="W285" t="s">
        <v>81</v>
      </c>
      <c r="X285" t="s">
        <v>502</v>
      </c>
      <c r="Y285" t="s">
        <v>61</v>
      </c>
      <c r="Z285" t="str">
        <f>IF(COUNTA(A285:Y285)=0,"Blank","")</f>
        <v/>
      </c>
      <c r="AA285" s="4" t="str">
        <f>TEXT(F285,"mmmm")</f>
        <v>July</v>
      </c>
    </row>
    <row r="286" spans="1:27">
      <c r="A286">
        <v>10279</v>
      </c>
      <c r="B286">
        <v>26</v>
      </c>
      <c r="C286">
        <v>60.58</v>
      </c>
      <c r="D286">
        <v>1</v>
      </c>
      <c r="E286" s="1">
        <v>1575.08</v>
      </c>
      <c r="F286" s="3">
        <v>38208</v>
      </c>
      <c r="G286" t="s">
        <v>52</v>
      </c>
      <c r="H286">
        <v>3</v>
      </c>
      <c r="I286">
        <v>8</v>
      </c>
      <c r="J286">
        <v>2004</v>
      </c>
      <c r="K286" t="s">
        <v>0</v>
      </c>
      <c r="L286">
        <v>71</v>
      </c>
      <c r="M286" t="s">
        <v>626</v>
      </c>
      <c r="N286" t="s">
        <v>199</v>
      </c>
      <c r="O286" t="s">
        <v>200</v>
      </c>
      <c r="P286" t="s">
        <v>201</v>
      </c>
      <c r="R286" t="s">
        <v>202</v>
      </c>
      <c r="T286">
        <v>28034</v>
      </c>
      <c r="U286" t="s">
        <v>203</v>
      </c>
      <c r="V286" t="s">
        <v>67</v>
      </c>
      <c r="W286" t="s">
        <v>204</v>
      </c>
      <c r="X286" t="s">
        <v>205</v>
      </c>
      <c r="Y286" t="s">
        <v>61</v>
      </c>
      <c r="Z286" t="str">
        <f>IF(COUNTA(A286:Y286)=0,"Blank","")</f>
        <v/>
      </c>
      <c r="AA286" s="4" t="str">
        <f>TEXT(F286,"mmmm")</f>
        <v>August</v>
      </c>
    </row>
    <row r="287" spans="1:27">
      <c r="A287">
        <v>10158</v>
      </c>
      <c r="B287">
        <v>22</v>
      </c>
      <c r="C287">
        <v>67.03</v>
      </c>
      <c r="D287">
        <v>1</v>
      </c>
      <c r="E287" s="1">
        <v>1474.66</v>
      </c>
      <c r="F287" s="3">
        <v>37904</v>
      </c>
      <c r="G287" t="s">
        <v>52</v>
      </c>
      <c r="H287">
        <v>4</v>
      </c>
      <c r="I287">
        <v>10</v>
      </c>
      <c r="J287">
        <v>2003</v>
      </c>
      <c r="K287" t="s">
        <v>7</v>
      </c>
      <c r="L287">
        <v>76</v>
      </c>
      <c r="M287" t="s">
        <v>627</v>
      </c>
      <c r="N287" t="s">
        <v>158</v>
      </c>
      <c r="O287" t="s">
        <v>159</v>
      </c>
      <c r="P287" t="s">
        <v>160</v>
      </c>
      <c r="R287" t="s">
        <v>161</v>
      </c>
      <c r="T287">
        <v>4110</v>
      </c>
      <c r="U287" t="s">
        <v>103</v>
      </c>
      <c r="V287" t="s">
        <v>67</v>
      </c>
      <c r="W287" t="s">
        <v>162</v>
      </c>
      <c r="X287" t="s">
        <v>163</v>
      </c>
      <c r="Y287" t="s">
        <v>61</v>
      </c>
      <c r="Z287" t="str">
        <f>IF(COUNTA(A287:Y287)=0,"Blank","")</f>
        <v/>
      </c>
      <c r="AA287" s="4" t="str">
        <f>TEXT(F287,"mmmm")</f>
        <v>October</v>
      </c>
    </row>
    <row r="288" spans="1:27">
      <c r="A288">
        <v>10340</v>
      </c>
      <c r="B288">
        <v>55</v>
      </c>
      <c r="C288">
        <v>79.98</v>
      </c>
      <c r="D288">
        <v>8</v>
      </c>
      <c r="E288" s="1">
        <v>4398.8999999999996</v>
      </c>
      <c r="F288" s="3">
        <v>38315</v>
      </c>
      <c r="G288" t="s">
        <v>52</v>
      </c>
      <c r="H288">
        <v>4</v>
      </c>
      <c r="I288">
        <v>11</v>
      </c>
      <c r="J288">
        <v>2004</v>
      </c>
      <c r="K288" t="s">
        <v>7</v>
      </c>
      <c r="L288">
        <v>76</v>
      </c>
      <c r="M288" t="s">
        <v>627</v>
      </c>
      <c r="N288" t="s">
        <v>376</v>
      </c>
      <c r="O288" t="s">
        <v>377</v>
      </c>
      <c r="P288" t="s">
        <v>378</v>
      </c>
      <c r="R288" t="s">
        <v>379</v>
      </c>
      <c r="T288">
        <v>8022</v>
      </c>
      <c r="U288" t="s">
        <v>203</v>
      </c>
      <c r="V288" t="s">
        <v>67</v>
      </c>
      <c r="W288" t="s">
        <v>380</v>
      </c>
      <c r="X288" t="s">
        <v>381</v>
      </c>
      <c r="Y288" t="s">
        <v>76</v>
      </c>
      <c r="Z288" t="str">
        <f>IF(COUNTA(A288:Y288)=0,"Blank","")</f>
        <v/>
      </c>
      <c r="AA288" s="4" t="str">
        <f>TEXT(F288,"mmmm")</f>
        <v>November</v>
      </c>
    </row>
    <row r="289" spans="1:27">
      <c r="A289">
        <v>10345</v>
      </c>
      <c r="B289">
        <v>43</v>
      </c>
      <c r="C289">
        <v>53.76</v>
      </c>
      <c r="D289">
        <v>1</v>
      </c>
      <c r="E289" s="1">
        <v>2311.6799999999998</v>
      </c>
      <c r="F289" s="3">
        <v>38316</v>
      </c>
      <c r="G289" t="s">
        <v>52</v>
      </c>
      <c r="H289">
        <v>4</v>
      </c>
      <c r="I289">
        <v>11</v>
      </c>
      <c r="J289">
        <v>2004</v>
      </c>
      <c r="K289" t="s">
        <v>12</v>
      </c>
      <c r="L289">
        <v>44</v>
      </c>
      <c r="M289" t="s">
        <v>628</v>
      </c>
      <c r="N289" t="s">
        <v>336</v>
      </c>
      <c r="O289" t="s">
        <v>337</v>
      </c>
      <c r="P289" t="s">
        <v>338</v>
      </c>
      <c r="R289" t="s">
        <v>142</v>
      </c>
      <c r="T289">
        <v>44000</v>
      </c>
      <c r="U289" t="s">
        <v>66</v>
      </c>
      <c r="V289" t="s">
        <v>67</v>
      </c>
      <c r="W289" t="s">
        <v>339</v>
      </c>
      <c r="X289" t="s">
        <v>340</v>
      </c>
      <c r="Y289" t="s">
        <v>61</v>
      </c>
      <c r="Z289" t="str">
        <f>IF(COUNTA(A289:Y289)=0,"Blank","")</f>
        <v/>
      </c>
      <c r="AA289" s="4" t="str">
        <f>TEXT(F289,"mmmm")</f>
        <v>November</v>
      </c>
    </row>
    <row r="290" spans="1:27">
      <c r="A290">
        <v>10190</v>
      </c>
      <c r="B290">
        <v>42</v>
      </c>
      <c r="C290">
        <v>76.19</v>
      </c>
      <c r="D290">
        <v>3</v>
      </c>
      <c r="E290" s="1">
        <v>3199.98</v>
      </c>
      <c r="F290" s="3">
        <v>37944</v>
      </c>
      <c r="G290" t="s">
        <v>52</v>
      </c>
      <c r="H290">
        <v>4</v>
      </c>
      <c r="I290">
        <v>11</v>
      </c>
      <c r="J290">
        <v>2003</v>
      </c>
      <c r="K290" t="s">
        <v>7</v>
      </c>
      <c r="L290">
        <v>69</v>
      </c>
      <c r="M290" t="s">
        <v>629</v>
      </c>
      <c r="N290" t="s">
        <v>199</v>
      </c>
      <c r="O290" t="s">
        <v>200</v>
      </c>
      <c r="P290" t="s">
        <v>201</v>
      </c>
      <c r="R290" t="s">
        <v>202</v>
      </c>
      <c r="T290">
        <v>28034</v>
      </c>
      <c r="U290" t="s">
        <v>203</v>
      </c>
      <c r="V290" t="s">
        <v>67</v>
      </c>
      <c r="W290" t="s">
        <v>204</v>
      </c>
      <c r="X290" t="s">
        <v>205</v>
      </c>
      <c r="Y290" t="s">
        <v>76</v>
      </c>
      <c r="Z290" t="str">
        <f>IF(COUNTA(A290:Y290)=0,"Blank","")</f>
        <v/>
      </c>
      <c r="AA290" s="4" t="str">
        <f>TEXT(F290,"mmmm")</f>
        <v>November</v>
      </c>
    </row>
    <row r="291" spans="1:27">
      <c r="A291">
        <v>10368</v>
      </c>
      <c r="B291">
        <v>40</v>
      </c>
      <c r="C291">
        <v>100</v>
      </c>
      <c r="D291">
        <v>2</v>
      </c>
      <c r="E291" s="1">
        <v>4107.2</v>
      </c>
      <c r="F291" s="3">
        <v>38371</v>
      </c>
      <c r="G291" t="s">
        <v>52</v>
      </c>
      <c r="H291">
        <v>1</v>
      </c>
      <c r="I291">
        <v>1</v>
      </c>
      <c r="J291">
        <v>2005</v>
      </c>
      <c r="K291" t="s">
        <v>0</v>
      </c>
      <c r="L291">
        <v>90</v>
      </c>
      <c r="M291" t="s">
        <v>630</v>
      </c>
      <c r="N291" t="s">
        <v>296</v>
      </c>
      <c r="O291">
        <v>4155551450</v>
      </c>
      <c r="P291" t="s">
        <v>297</v>
      </c>
      <c r="R291" t="s">
        <v>298</v>
      </c>
      <c r="S291" t="s">
        <v>80</v>
      </c>
      <c r="T291">
        <v>97562</v>
      </c>
      <c r="U291" t="s">
        <v>1</v>
      </c>
      <c r="V291" t="s">
        <v>58</v>
      </c>
      <c r="W291" t="s">
        <v>299</v>
      </c>
      <c r="X291" t="s">
        <v>300</v>
      </c>
      <c r="Y291" t="s">
        <v>76</v>
      </c>
      <c r="Z291" t="str">
        <f>IF(COUNTA(A291:Y291)=0,"Blank","")</f>
        <v/>
      </c>
      <c r="AA291" s="4" t="str">
        <f>TEXT(F291,"mmmm")</f>
        <v>January</v>
      </c>
    </row>
    <row r="292" spans="1:27">
      <c r="A292">
        <v>10335</v>
      </c>
      <c r="B292">
        <v>33</v>
      </c>
      <c r="C292">
        <v>37.130000000000003</v>
      </c>
      <c r="D292">
        <v>2</v>
      </c>
      <c r="E292" s="1">
        <v>1225.29</v>
      </c>
      <c r="F292" s="3">
        <v>38310</v>
      </c>
      <c r="G292" t="s">
        <v>52</v>
      </c>
      <c r="H292">
        <v>4</v>
      </c>
      <c r="I292">
        <v>11</v>
      </c>
      <c r="J292">
        <v>2004</v>
      </c>
      <c r="K292" t="s">
        <v>0</v>
      </c>
      <c r="L292">
        <v>35</v>
      </c>
      <c r="M292" t="s">
        <v>631</v>
      </c>
      <c r="N292" t="s">
        <v>296</v>
      </c>
      <c r="O292">
        <v>4155551450</v>
      </c>
      <c r="P292" t="s">
        <v>297</v>
      </c>
      <c r="R292" t="s">
        <v>298</v>
      </c>
      <c r="S292" t="s">
        <v>80</v>
      </c>
      <c r="T292">
        <v>97562</v>
      </c>
      <c r="U292" t="s">
        <v>1</v>
      </c>
      <c r="V292" t="s">
        <v>58</v>
      </c>
      <c r="W292" t="s">
        <v>299</v>
      </c>
      <c r="X292" t="s">
        <v>300</v>
      </c>
      <c r="Y292" t="s">
        <v>61</v>
      </c>
      <c r="Z292" t="str">
        <f>IF(COUNTA(A292:Y292)=0,"Blank","")</f>
        <v/>
      </c>
      <c r="AA292" s="4" t="str">
        <f>TEXT(F292,"mmmm")</f>
        <v>November</v>
      </c>
    </row>
    <row r="293" spans="1:27">
      <c r="A293">
        <v>10154</v>
      </c>
      <c r="B293">
        <v>31</v>
      </c>
      <c r="C293">
        <v>91.17</v>
      </c>
      <c r="D293">
        <v>2</v>
      </c>
      <c r="E293" s="1">
        <v>2826.27</v>
      </c>
      <c r="F293" s="3">
        <v>37896</v>
      </c>
      <c r="G293" t="s">
        <v>52</v>
      </c>
      <c r="H293">
        <v>4</v>
      </c>
      <c r="I293">
        <v>10</v>
      </c>
      <c r="J293">
        <v>2003</v>
      </c>
      <c r="K293" t="s">
        <v>12</v>
      </c>
      <c r="L293">
        <v>88</v>
      </c>
      <c r="M293" t="s">
        <v>632</v>
      </c>
      <c r="N293" t="s">
        <v>537</v>
      </c>
      <c r="O293">
        <v>3105552373</v>
      </c>
      <c r="P293" t="s">
        <v>538</v>
      </c>
      <c r="R293" t="s">
        <v>539</v>
      </c>
      <c r="S293" t="s">
        <v>80</v>
      </c>
      <c r="T293">
        <v>92561</v>
      </c>
      <c r="U293" t="s">
        <v>1</v>
      </c>
      <c r="V293" t="s">
        <v>58</v>
      </c>
      <c r="W293" t="s">
        <v>81</v>
      </c>
      <c r="X293" t="s">
        <v>269</v>
      </c>
      <c r="Y293" t="s">
        <v>61</v>
      </c>
      <c r="Z293" t="str">
        <f>IF(COUNTA(A293:Y293)=0,"Blank","")</f>
        <v/>
      </c>
      <c r="AA293" s="4" t="str">
        <f>TEXT(F293,"mmmm")</f>
        <v>October</v>
      </c>
    </row>
    <row r="294" spans="1:27">
      <c r="A294">
        <v>10233</v>
      </c>
      <c r="B294">
        <v>40</v>
      </c>
      <c r="C294">
        <v>94.71</v>
      </c>
      <c r="D294">
        <v>2</v>
      </c>
      <c r="E294" s="1">
        <v>3788.4</v>
      </c>
      <c r="F294" s="3">
        <v>38075</v>
      </c>
      <c r="G294" t="s">
        <v>52</v>
      </c>
      <c r="H294">
        <v>1</v>
      </c>
      <c r="I294">
        <v>3</v>
      </c>
      <c r="J294">
        <v>2004</v>
      </c>
      <c r="K294" t="s">
        <v>12</v>
      </c>
      <c r="L294">
        <v>88</v>
      </c>
      <c r="M294" t="s">
        <v>632</v>
      </c>
      <c r="N294" t="s">
        <v>129</v>
      </c>
      <c r="O294">
        <v>2015559350</v>
      </c>
      <c r="P294" t="s">
        <v>130</v>
      </c>
      <c r="R294" t="s">
        <v>131</v>
      </c>
      <c r="S294" t="s">
        <v>132</v>
      </c>
      <c r="T294">
        <v>94019</v>
      </c>
      <c r="U294" t="s">
        <v>1</v>
      </c>
      <c r="V294" t="s">
        <v>58</v>
      </c>
      <c r="W294" t="s">
        <v>86</v>
      </c>
      <c r="X294" t="s">
        <v>133</v>
      </c>
      <c r="Y294" t="s">
        <v>76</v>
      </c>
      <c r="Z294" t="str">
        <f>IF(COUNTA(A294:Y294)=0,"Blank","")</f>
        <v/>
      </c>
      <c r="AA294" s="4" t="str">
        <f>TEXT(F294,"mmmm")</f>
        <v>March</v>
      </c>
    </row>
    <row r="295" spans="1:27">
      <c r="A295">
        <v>10385</v>
      </c>
      <c r="B295">
        <v>37</v>
      </c>
      <c r="C295">
        <v>85.54</v>
      </c>
      <c r="D295">
        <v>2</v>
      </c>
      <c r="E295" s="1">
        <v>3164.98</v>
      </c>
      <c r="F295" s="3">
        <v>38411</v>
      </c>
      <c r="G295" t="s">
        <v>52</v>
      </c>
      <c r="H295">
        <v>1</v>
      </c>
      <c r="I295">
        <v>2</v>
      </c>
      <c r="J295">
        <v>2005</v>
      </c>
      <c r="K295" t="s">
        <v>12</v>
      </c>
      <c r="L295">
        <v>83</v>
      </c>
      <c r="M295" t="s">
        <v>633</v>
      </c>
      <c r="N295" t="s">
        <v>296</v>
      </c>
      <c r="O295">
        <v>4155551450</v>
      </c>
      <c r="P295" t="s">
        <v>297</v>
      </c>
      <c r="R295" t="s">
        <v>298</v>
      </c>
      <c r="S295" t="s">
        <v>80</v>
      </c>
      <c r="T295">
        <v>97562</v>
      </c>
      <c r="U295" t="s">
        <v>1</v>
      </c>
      <c r="V295" t="s">
        <v>58</v>
      </c>
      <c r="W295" t="s">
        <v>299</v>
      </c>
      <c r="X295" t="s">
        <v>300</v>
      </c>
      <c r="Y295" t="s">
        <v>76</v>
      </c>
      <c r="Z295" t="str">
        <f>IF(COUNTA(A295:Y295)=0,"Blank","")</f>
        <v/>
      </c>
      <c r="AA295" s="4" t="str">
        <f>TEXT(F295,"mmmm")</f>
        <v>February</v>
      </c>
    </row>
    <row r="296" spans="1:27">
      <c r="A296">
        <v>10242</v>
      </c>
      <c r="B296">
        <v>46</v>
      </c>
      <c r="C296">
        <v>36.93</v>
      </c>
      <c r="D296">
        <v>1</v>
      </c>
      <c r="E296" s="1">
        <v>1698.78</v>
      </c>
      <c r="F296" s="3">
        <v>38097</v>
      </c>
      <c r="G296" t="s">
        <v>52</v>
      </c>
      <c r="H296">
        <v>2</v>
      </c>
      <c r="I296">
        <v>4</v>
      </c>
      <c r="J296">
        <v>2004</v>
      </c>
      <c r="K296" t="s">
        <v>12</v>
      </c>
      <c r="L296">
        <v>41</v>
      </c>
      <c r="M296" t="s">
        <v>634</v>
      </c>
      <c r="N296" t="s">
        <v>530</v>
      </c>
      <c r="O296">
        <v>2125551957</v>
      </c>
      <c r="P296" t="s">
        <v>531</v>
      </c>
      <c r="Q296" t="s">
        <v>532</v>
      </c>
      <c r="R296" t="s">
        <v>56</v>
      </c>
      <c r="S296" t="s">
        <v>57</v>
      </c>
      <c r="T296">
        <v>10022</v>
      </c>
      <c r="U296" t="s">
        <v>1</v>
      </c>
      <c r="V296" t="s">
        <v>58</v>
      </c>
      <c r="W296" t="s">
        <v>533</v>
      </c>
      <c r="X296" t="s">
        <v>534</v>
      </c>
      <c r="Y296" t="s">
        <v>61</v>
      </c>
      <c r="Z296" t="str">
        <f>IF(COUNTA(A296:Y296)=0,"Blank","")</f>
        <v/>
      </c>
      <c r="AA296" s="4" t="str">
        <f>TEXT(F296,"mmmm")</f>
        <v>April</v>
      </c>
    </row>
    <row r="297" spans="1:27">
      <c r="A297">
        <v>10408</v>
      </c>
      <c r="B297">
        <v>15</v>
      </c>
      <c r="C297">
        <v>36.93</v>
      </c>
      <c r="D297">
        <v>1</v>
      </c>
      <c r="E297" s="1">
        <v>553.95000000000005</v>
      </c>
      <c r="F297" s="3">
        <v>38464</v>
      </c>
      <c r="G297" t="s">
        <v>52</v>
      </c>
      <c r="H297">
        <v>2</v>
      </c>
      <c r="I297">
        <v>4</v>
      </c>
      <c r="J297">
        <v>2005</v>
      </c>
      <c r="K297" t="s">
        <v>12</v>
      </c>
      <c r="L297">
        <v>41</v>
      </c>
      <c r="M297" t="s">
        <v>634</v>
      </c>
      <c r="N297" t="s">
        <v>270</v>
      </c>
      <c r="O297" t="s">
        <v>271</v>
      </c>
      <c r="P297" t="s">
        <v>272</v>
      </c>
      <c r="R297" t="s">
        <v>273</v>
      </c>
      <c r="S297" t="s">
        <v>274</v>
      </c>
      <c r="T297" t="s">
        <v>275</v>
      </c>
      <c r="U297" t="s">
        <v>224</v>
      </c>
      <c r="V297" t="s">
        <v>224</v>
      </c>
      <c r="W297" t="s">
        <v>276</v>
      </c>
      <c r="X297" t="s">
        <v>277</v>
      </c>
      <c r="Y297" t="s">
        <v>61</v>
      </c>
      <c r="Z297" t="str">
        <f>IF(COUNTA(A297:Y297)=0,"Blank","")</f>
        <v/>
      </c>
      <c r="AA297" s="4" t="str">
        <f>TEXT(F297,"mmmm")</f>
        <v>April</v>
      </c>
    </row>
    <row r="298" spans="1:27">
      <c r="A298">
        <v>10317</v>
      </c>
      <c r="B298">
        <v>35</v>
      </c>
      <c r="C298">
        <v>83.32</v>
      </c>
      <c r="D298">
        <v>1</v>
      </c>
      <c r="E298" s="1">
        <v>2916.2</v>
      </c>
      <c r="F298" s="3">
        <v>38293</v>
      </c>
      <c r="G298" t="s">
        <v>52</v>
      </c>
      <c r="H298">
        <v>4</v>
      </c>
      <c r="I298">
        <v>11</v>
      </c>
      <c r="J298">
        <v>2004</v>
      </c>
      <c r="K298" t="s">
        <v>8</v>
      </c>
      <c r="L298">
        <v>72</v>
      </c>
      <c r="M298" t="s">
        <v>635</v>
      </c>
      <c r="N298" t="s">
        <v>87</v>
      </c>
      <c r="O298">
        <v>6505556809</v>
      </c>
      <c r="P298" t="s">
        <v>88</v>
      </c>
      <c r="R298" t="s">
        <v>89</v>
      </c>
      <c r="S298" t="s">
        <v>80</v>
      </c>
      <c r="T298">
        <v>94217</v>
      </c>
      <c r="U298" t="s">
        <v>1</v>
      </c>
      <c r="V298" t="s">
        <v>58</v>
      </c>
      <c r="W298" t="s">
        <v>90</v>
      </c>
      <c r="X298" t="s">
        <v>91</v>
      </c>
      <c r="Y298" t="s">
        <v>61</v>
      </c>
      <c r="Z298" t="str">
        <f>IF(COUNTA(A298:Y298)=0,"Blank","")</f>
        <v/>
      </c>
      <c r="AA298" s="4" t="str">
        <f>TEXT(F298,"mmmm")</f>
        <v>November</v>
      </c>
    </row>
    <row r="299" spans="1:27">
      <c r="A299">
        <v>10387</v>
      </c>
      <c r="B299">
        <v>44</v>
      </c>
      <c r="C299">
        <v>94.9</v>
      </c>
      <c r="D299">
        <v>1</v>
      </c>
      <c r="E299" s="1">
        <v>4175.6000000000004</v>
      </c>
      <c r="F299" s="3">
        <v>38413</v>
      </c>
      <c r="G299" t="s">
        <v>52</v>
      </c>
      <c r="H299">
        <v>1</v>
      </c>
      <c r="I299">
        <v>3</v>
      </c>
      <c r="J299">
        <v>2005</v>
      </c>
      <c r="K299" t="s">
        <v>7</v>
      </c>
      <c r="L299">
        <v>99</v>
      </c>
      <c r="M299" t="s">
        <v>636</v>
      </c>
      <c r="N299" t="s">
        <v>220</v>
      </c>
      <c r="O299" t="s">
        <v>221</v>
      </c>
      <c r="P299" t="s">
        <v>222</v>
      </c>
      <c r="R299" t="s">
        <v>223</v>
      </c>
      <c r="T299">
        <v>79903</v>
      </c>
      <c r="U299" t="s">
        <v>223</v>
      </c>
      <c r="V299" t="s">
        <v>224</v>
      </c>
      <c r="W299" t="s">
        <v>225</v>
      </c>
      <c r="X299" t="s">
        <v>226</v>
      </c>
      <c r="Y299" t="s">
        <v>76</v>
      </c>
      <c r="Z299" t="str">
        <f>IF(COUNTA(A299:Y299)=0,"Blank","")</f>
        <v/>
      </c>
      <c r="AA299" s="4" t="str">
        <f>TEXT(F299,"mmmm")</f>
        <v>March</v>
      </c>
    </row>
    <row r="300" spans="1:27">
      <c r="A300">
        <v>10364</v>
      </c>
      <c r="B300">
        <v>48</v>
      </c>
      <c r="C300">
        <v>48.28</v>
      </c>
      <c r="D300">
        <v>1</v>
      </c>
      <c r="E300" s="1">
        <v>2317.44</v>
      </c>
      <c r="F300" s="3">
        <v>38358</v>
      </c>
      <c r="G300" t="s">
        <v>52</v>
      </c>
      <c r="H300">
        <v>1</v>
      </c>
      <c r="I300">
        <v>1</v>
      </c>
      <c r="J300">
        <v>2005</v>
      </c>
      <c r="K300" t="s">
        <v>7</v>
      </c>
      <c r="L300">
        <v>40</v>
      </c>
      <c r="M300" t="s">
        <v>637</v>
      </c>
      <c r="N300" t="s">
        <v>457</v>
      </c>
      <c r="O300" t="s">
        <v>458</v>
      </c>
      <c r="P300" t="s">
        <v>459</v>
      </c>
      <c r="R300" t="s">
        <v>460</v>
      </c>
      <c r="T300">
        <v>13008</v>
      </c>
      <c r="U300" t="s">
        <v>66</v>
      </c>
      <c r="V300" t="s">
        <v>67</v>
      </c>
      <c r="W300" t="s">
        <v>461</v>
      </c>
      <c r="X300" t="s">
        <v>462</v>
      </c>
      <c r="Y300" t="s">
        <v>61</v>
      </c>
      <c r="Z300" t="str">
        <f>IF(COUNTA(A300:Y300)=0,"Blank","")</f>
        <v/>
      </c>
      <c r="AA300" s="4" t="str">
        <f>TEXT(F300,"mmmm")</f>
        <v>January</v>
      </c>
    </row>
    <row r="301" spans="1:27">
      <c r="A301">
        <v>10116</v>
      </c>
      <c r="B301">
        <v>27</v>
      </c>
      <c r="C301">
        <v>63.38</v>
      </c>
      <c r="D301">
        <v>1</v>
      </c>
      <c r="E301" s="1">
        <v>1711.26</v>
      </c>
      <c r="F301" s="3">
        <v>37722</v>
      </c>
      <c r="G301" t="s">
        <v>52</v>
      </c>
      <c r="H301">
        <v>2</v>
      </c>
      <c r="I301">
        <v>4</v>
      </c>
      <c r="J301">
        <v>2003</v>
      </c>
      <c r="K301" t="s">
        <v>10</v>
      </c>
      <c r="L301">
        <v>62</v>
      </c>
      <c r="M301" t="s">
        <v>638</v>
      </c>
      <c r="N301" t="s">
        <v>596</v>
      </c>
      <c r="O301" t="s">
        <v>597</v>
      </c>
      <c r="P301" t="s">
        <v>598</v>
      </c>
      <c r="R301" t="s">
        <v>599</v>
      </c>
      <c r="T301" t="s">
        <v>600</v>
      </c>
      <c r="U301" t="s">
        <v>394</v>
      </c>
      <c r="V301" t="s">
        <v>67</v>
      </c>
      <c r="W301" t="s">
        <v>601</v>
      </c>
      <c r="X301" t="s">
        <v>602</v>
      </c>
      <c r="Y301" t="s">
        <v>61</v>
      </c>
      <c r="Z301" t="str">
        <f>IF(COUNTA(A301:Y301)=0,"Blank","")</f>
        <v/>
      </c>
      <c r="AA301" s="4" t="str">
        <f>TEXT(F301,"mmmm")</f>
        <v>April</v>
      </c>
    </row>
    <row r="302" spans="1:27">
      <c r="A302">
        <v>10144</v>
      </c>
      <c r="B302">
        <v>20</v>
      </c>
      <c r="C302">
        <v>81.86</v>
      </c>
      <c r="D302">
        <v>1</v>
      </c>
      <c r="E302" s="1">
        <v>1637.2</v>
      </c>
      <c r="F302" s="3">
        <v>37846</v>
      </c>
      <c r="G302" t="s">
        <v>52</v>
      </c>
      <c r="H302">
        <v>3</v>
      </c>
      <c r="I302">
        <v>8</v>
      </c>
      <c r="J302">
        <v>2003</v>
      </c>
      <c r="K302" t="s">
        <v>12</v>
      </c>
      <c r="L302">
        <v>68</v>
      </c>
      <c r="M302" t="s">
        <v>639</v>
      </c>
      <c r="N302" t="s">
        <v>596</v>
      </c>
      <c r="O302" t="s">
        <v>597</v>
      </c>
      <c r="P302" t="s">
        <v>598</v>
      </c>
      <c r="R302" t="s">
        <v>599</v>
      </c>
      <c r="T302" t="s">
        <v>600</v>
      </c>
      <c r="U302" t="s">
        <v>394</v>
      </c>
      <c r="V302" t="s">
        <v>67</v>
      </c>
      <c r="W302" t="s">
        <v>601</v>
      </c>
      <c r="X302" t="s">
        <v>602</v>
      </c>
      <c r="Y302" t="s">
        <v>61</v>
      </c>
      <c r="Z302" t="str">
        <f>IF(COUNTA(A302:Y302)=0,"Blank","")</f>
        <v/>
      </c>
      <c r="AA302" s="4" t="str">
        <f>TEXT(F302,"mmmm")</f>
        <v>August</v>
      </c>
    </row>
    <row r="303" spans="1:27">
      <c r="A303">
        <v>10156</v>
      </c>
      <c r="B303">
        <v>20</v>
      </c>
      <c r="C303">
        <v>41.02</v>
      </c>
      <c r="D303">
        <v>1</v>
      </c>
      <c r="E303" s="1">
        <v>820.4</v>
      </c>
      <c r="F303" s="3">
        <v>37902</v>
      </c>
      <c r="G303" t="s">
        <v>52</v>
      </c>
      <c r="H303">
        <v>4</v>
      </c>
      <c r="I303">
        <v>10</v>
      </c>
      <c r="J303">
        <v>2003</v>
      </c>
      <c r="K303" t="s">
        <v>12</v>
      </c>
      <c r="L303">
        <v>43</v>
      </c>
      <c r="M303" t="s">
        <v>640</v>
      </c>
      <c r="N303" t="s">
        <v>199</v>
      </c>
      <c r="O303" t="s">
        <v>200</v>
      </c>
      <c r="P303" t="s">
        <v>201</v>
      </c>
      <c r="R303" t="s">
        <v>202</v>
      </c>
      <c r="T303">
        <v>28034</v>
      </c>
      <c r="U303" t="s">
        <v>203</v>
      </c>
      <c r="V303" t="s">
        <v>67</v>
      </c>
      <c r="W303" t="s">
        <v>204</v>
      </c>
      <c r="X303" t="s">
        <v>205</v>
      </c>
      <c r="Y303" t="s">
        <v>61</v>
      </c>
      <c r="Z303" t="str">
        <f>IF(COUNTA(A303:Y303)=0,"Blank","")</f>
        <v/>
      </c>
      <c r="AA303" s="4" t="str">
        <f>TEXT(F303,"mmmm")</f>
        <v>October</v>
      </c>
    </row>
    <row r="304" spans="1:27">
      <c r="A304">
        <v>10199</v>
      </c>
      <c r="B304">
        <v>29</v>
      </c>
      <c r="C304">
        <v>38.4</v>
      </c>
      <c r="D304">
        <v>1</v>
      </c>
      <c r="E304" s="1">
        <v>1113.5999999999999</v>
      </c>
      <c r="F304" s="3">
        <v>37956</v>
      </c>
      <c r="G304" t="s">
        <v>52</v>
      </c>
      <c r="H304">
        <v>4</v>
      </c>
      <c r="I304">
        <v>12</v>
      </c>
      <c r="J304">
        <v>2003</v>
      </c>
      <c r="K304" t="s">
        <v>12</v>
      </c>
      <c r="L304">
        <v>43</v>
      </c>
      <c r="M304" t="s">
        <v>640</v>
      </c>
      <c r="N304" t="s">
        <v>258</v>
      </c>
      <c r="O304">
        <v>3105553722</v>
      </c>
      <c r="P304" t="s">
        <v>259</v>
      </c>
      <c r="R304" t="s">
        <v>260</v>
      </c>
      <c r="S304" t="s">
        <v>80</v>
      </c>
      <c r="T304">
        <v>94019</v>
      </c>
      <c r="U304" t="s">
        <v>1</v>
      </c>
      <c r="V304" t="s">
        <v>58</v>
      </c>
      <c r="W304" t="s">
        <v>261</v>
      </c>
      <c r="X304" t="s">
        <v>262</v>
      </c>
      <c r="Y304" t="s">
        <v>61</v>
      </c>
      <c r="Z304" t="str">
        <f>IF(COUNTA(A304:Y304)=0,"Blank","")</f>
        <v/>
      </c>
      <c r="AA304" s="4" t="str">
        <f>TEXT(F304,"mmmm")</f>
        <v>December</v>
      </c>
    </row>
    <row r="305" spans="1:27">
      <c r="A305">
        <v>10397</v>
      </c>
      <c r="B305">
        <v>32</v>
      </c>
      <c r="C305">
        <v>80.55</v>
      </c>
      <c r="D305">
        <v>5</v>
      </c>
      <c r="E305" s="1">
        <v>2577.6</v>
      </c>
      <c r="F305" s="3">
        <v>38439</v>
      </c>
      <c r="G305" t="s">
        <v>52</v>
      </c>
      <c r="H305">
        <v>1</v>
      </c>
      <c r="I305">
        <v>3</v>
      </c>
      <c r="J305">
        <v>2005</v>
      </c>
      <c r="K305" t="s">
        <v>9</v>
      </c>
      <c r="L305">
        <v>86</v>
      </c>
      <c r="M305" t="s">
        <v>641</v>
      </c>
      <c r="N305" t="s">
        <v>364</v>
      </c>
      <c r="O305" t="s">
        <v>365</v>
      </c>
      <c r="P305" t="s">
        <v>366</v>
      </c>
      <c r="R305" t="s">
        <v>367</v>
      </c>
      <c r="T305">
        <v>31000</v>
      </c>
      <c r="U305" t="s">
        <v>66</v>
      </c>
      <c r="V305" t="s">
        <v>67</v>
      </c>
      <c r="W305" t="s">
        <v>368</v>
      </c>
      <c r="X305" t="s">
        <v>369</v>
      </c>
      <c r="Y305" t="s">
        <v>61</v>
      </c>
      <c r="Z305" t="str">
        <f>IF(COUNTA(A305:Y305)=0,"Blank","")</f>
        <v/>
      </c>
      <c r="AA305" s="4" t="str">
        <f>TEXT(F305,"mmmm")</f>
        <v>March</v>
      </c>
    </row>
    <row r="306" spans="1:27">
      <c r="A306">
        <v>10352</v>
      </c>
      <c r="B306">
        <v>23</v>
      </c>
      <c r="C306">
        <v>100</v>
      </c>
      <c r="D306">
        <v>3</v>
      </c>
      <c r="E306" s="1">
        <v>2352.67</v>
      </c>
      <c r="F306" s="3">
        <v>38324</v>
      </c>
      <c r="G306" t="s">
        <v>52</v>
      </c>
      <c r="H306">
        <v>4</v>
      </c>
      <c r="I306">
        <v>12</v>
      </c>
      <c r="J306">
        <v>2004</v>
      </c>
      <c r="K306" t="s">
        <v>9</v>
      </c>
      <c r="L306">
        <v>90</v>
      </c>
      <c r="M306" t="s">
        <v>642</v>
      </c>
      <c r="N306" t="s">
        <v>613</v>
      </c>
      <c r="O306">
        <v>6175558428</v>
      </c>
      <c r="P306" t="s">
        <v>614</v>
      </c>
      <c r="R306" t="s">
        <v>307</v>
      </c>
      <c r="S306" t="s">
        <v>148</v>
      </c>
      <c r="T306">
        <v>58339</v>
      </c>
      <c r="U306" t="s">
        <v>1</v>
      </c>
      <c r="V306" t="s">
        <v>58</v>
      </c>
      <c r="W306" t="s">
        <v>552</v>
      </c>
      <c r="X306" t="s">
        <v>269</v>
      </c>
      <c r="Y306" t="s">
        <v>61</v>
      </c>
      <c r="Z306" t="str">
        <f>IF(COUNTA(A306:Y306)=0,"Blank","")</f>
        <v/>
      </c>
      <c r="AA306" s="4" t="str">
        <f>TEXT(F306,"mmmm")</f>
        <v>December</v>
      </c>
    </row>
    <row r="307" spans="1:27">
      <c r="A307">
        <v>10118</v>
      </c>
      <c r="B307">
        <v>36</v>
      </c>
      <c r="C307">
        <v>100</v>
      </c>
      <c r="D307">
        <v>1</v>
      </c>
      <c r="E307" s="1">
        <v>4219.2</v>
      </c>
      <c r="F307" s="3">
        <v>37732</v>
      </c>
      <c r="G307" t="s">
        <v>52</v>
      </c>
      <c r="H307">
        <v>2</v>
      </c>
      <c r="I307">
        <v>4</v>
      </c>
      <c r="J307">
        <v>2003</v>
      </c>
      <c r="K307" t="s">
        <v>9</v>
      </c>
      <c r="L307">
        <v>100</v>
      </c>
      <c r="M307" t="s">
        <v>643</v>
      </c>
      <c r="N307" t="s">
        <v>376</v>
      </c>
      <c r="O307" t="s">
        <v>377</v>
      </c>
      <c r="P307" t="s">
        <v>378</v>
      </c>
      <c r="R307" t="s">
        <v>379</v>
      </c>
      <c r="T307">
        <v>8022</v>
      </c>
      <c r="U307" t="s">
        <v>203</v>
      </c>
      <c r="V307" t="s">
        <v>67</v>
      </c>
      <c r="W307" t="s">
        <v>380</v>
      </c>
      <c r="X307" t="s">
        <v>381</v>
      </c>
      <c r="Y307" t="s">
        <v>76</v>
      </c>
      <c r="Z307" t="str">
        <f>IF(COUNTA(A307:Y307)=0,"Blank","")</f>
        <v/>
      </c>
      <c r="AA307" s="4" t="str">
        <f>TEXT(F307,"mmmm")</f>
        <v>April</v>
      </c>
    </row>
    <row r="308" spans="1:27">
      <c r="A308">
        <v>10294</v>
      </c>
      <c r="B308">
        <v>45</v>
      </c>
      <c r="C308">
        <v>100</v>
      </c>
      <c r="D308">
        <v>1</v>
      </c>
      <c r="E308" s="1">
        <v>4692.6000000000004</v>
      </c>
      <c r="F308" s="3">
        <v>38240</v>
      </c>
      <c r="G308" t="s">
        <v>52</v>
      </c>
      <c r="H308">
        <v>3</v>
      </c>
      <c r="I308">
        <v>9</v>
      </c>
      <c r="J308">
        <v>2004</v>
      </c>
      <c r="K308" t="s">
        <v>9</v>
      </c>
      <c r="L308">
        <v>99</v>
      </c>
      <c r="M308" t="s">
        <v>644</v>
      </c>
      <c r="N308" t="s">
        <v>482</v>
      </c>
      <c r="O308">
        <v>6175557555</v>
      </c>
      <c r="P308" t="s">
        <v>483</v>
      </c>
      <c r="R308" t="s">
        <v>307</v>
      </c>
      <c r="S308" t="s">
        <v>148</v>
      </c>
      <c r="T308">
        <v>58339</v>
      </c>
      <c r="U308" t="s">
        <v>1</v>
      </c>
      <c r="V308" t="s">
        <v>58</v>
      </c>
      <c r="W308" t="s">
        <v>484</v>
      </c>
      <c r="X308" t="s">
        <v>485</v>
      </c>
      <c r="Y308" t="s">
        <v>76</v>
      </c>
      <c r="Z308" t="str">
        <f>IF(COUNTA(A308:Y308)=0,"Blank","")</f>
        <v/>
      </c>
      <c r="AA308" s="4" t="str">
        <f>TEXT(F308,"mmmm")</f>
        <v>September</v>
      </c>
    </row>
    <row r="309" spans="1:27">
      <c r="E309"/>
      <c r="AA309" s="4"/>
    </row>
    <row r="310" spans="1:27">
      <c r="E310"/>
      <c r="AA310" s="4"/>
    </row>
    <row r="311" spans="1:27">
      <c r="E311"/>
      <c r="AA311" s="4"/>
    </row>
    <row r="312" spans="1:27">
      <c r="E312"/>
      <c r="AA312" s="4"/>
    </row>
    <row r="313" spans="1:27">
      <c r="E313"/>
      <c r="AA313" s="4"/>
    </row>
    <row r="314" spans="1:27">
      <c r="E314"/>
      <c r="AA314" s="4"/>
    </row>
    <row r="315" spans="1:27">
      <c r="E315"/>
      <c r="AA315" s="4"/>
    </row>
    <row r="316" spans="1:27">
      <c r="E316"/>
      <c r="AA316" s="4"/>
    </row>
    <row r="317" spans="1:27">
      <c r="E317"/>
      <c r="AA317" s="4"/>
    </row>
    <row r="318" spans="1:27">
      <c r="E318"/>
      <c r="AA318" s="4"/>
    </row>
    <row r="319" spans="1:27">
      <c r="E319"/>
      <c r="AA319" s="4"/>
    </row>
    <row r="320" spans="1:27">
      <c r="E320"/>
      <c r="AA320" s="4"/>
    </row>
    <row r="321" spans="5:27">
      <c r="E321"/>
      <c r="AA321" s="4"/>
    </row>
    <row r="322" spans="5:27">
      <c r="E322"/>
      <c r="AA322" s="4"/>
    </row>
    <row r="323" spans="5:27">
      <c r="E323"/>
      <c r="AA323" s="4"/>
    </row>
    <row r="324" spans="5:27">
      <c r="E324"/>
      <c r="AA324" s="4"/>
    </row>
    <row r="325" spans="5:27">
      <c r="E325"/>
      <c r="AA325" s="4"/>
    </row>
    <row r="326" spans="5:27">
      <c r="E326"/>
      <c r="AA326" s="4"/>
    </row>
    <row r="327" spans="5:27">
      <c r="E327"/>
      <c r="AA327" s="4"/>
    </row>
    <row r="328" spans="5:27">
      <c r="E328"/>
      <c r="AA328" s="4"/>
    </row>
    <row r="329" spans="5:27">
      <c r="E329"/>
      <c r="AA329" s="4"/>
    </row>
    <row r="330" spans="5:27">
      <c r="E330"/>
      <c r="AA330" s="4"/>
    </row>
    <row r="331" spans="5:27">
      <c r="E331"/>
      <c r="AA331" s="4"/>
    </row>
    <row r="332" spans="5:27">
      <c r="E332"/>
      <c r="AA332" s="4"/>
    </row>
    <row r="333" spans="5:27">
      <c r="E333"/>
      <c r="AA333" s="4"/>
    </row>
    <row r="334" spans="5:27">
      <c r="E334"/>
      <c r="AA334" s="4"/>
    </row>
    <row r="335" spans="5:27">
      <c r="E335"/>
      <c r="AA335" s="4"/>
    </row>
    <row r="336" spans="5:27">
      <c r="E336"/>
      <c r="AA336" s="4"/>
    </row>
    <row r="337" spans="5:27">
      <c r="E337"/>
      <c r="AA337" s="4"/>
    </row>
    <row r="338" spans="5:27">
      <c r="E338"/>
      <c r="AA338" s="4"/>
    </row>
    <row r="339" spans="5:27">
      <c r="E339"/>
      <c r="AA339" s="4"/>
    </row>
    <row r="340" spans="5:27">
      <c r="E340"/>
      <c r="AA340" s="4"/>
    </row>
    <row r="341" spans="5:27">
      <c r="E341"/>
      <c r="AA341" s="4"/>
    </row>
    <row r="342" spans="5:27">
      <c r="E342"/>
      <c r="AA342" s="4"/>
    </row>
    <row r="343" spans="5:27">
      <c r="E343"/>
      <c r="AA343" s="4"/>
    </row>
    <row r="344" spans="5:27">
      <c r="E344"/>
      <c r="AA344" s="4"/>
    </row>
    <row r="345" spans="5:27">
      <c r="E345"/>
      <c r="AA345" s="4"/>
    </row>
    <row r="346" spans="5:27">
      <c r="E346"/>
      <c r="AA346" s="4"/>
    </row>
    <row r="347" spans="5:27">
      <c r="E347"/>
      <c r="AA347" s="4"/>
    </row>
    <row r="348" spans="5:27">
      <c r="E348"/>
      <c r="AA348" s="4"/>
    </row>
    <row r="349" spans="5:27">
      <c r="E349"/>
      <c r="AA349" s="4"/>
    </row>
    <row r="350" spans="5:27">
      <c r="E350"/>
      <c r="AA350" s="4"/>
    </row>
    <row r="351" spans="5:27">
      <c r="E351"/>
      <c r="AA351" s="4"/>
    </row>
    <row r="352" spans="5:27">
      <c r="E352"/>
      <c r="AA352" s="4"/>
    </row>
    <row r="353" spans="5:27">
      <c r="E353"/>
      <c r="AA353" s="4"/>
    </row>
    <row r="354" spans="5:27">
      <c r="E354"/>
      <c r="AA354" s="4"/>
    </row>
    <row r="355" spans="5:27">
      <c r="E355"/>
      <c r="AA355" s="4"/>
    </row>
    <row r="356" spans="5:27">
      <c r="E356"/>
      <c r="AA356" s="4"/>
    </row>
    <row r="357" spans="5:27">
      <c r="E357"/>
      <c r="AA357" s="4"/>
    </row>
    <row r="358" spans="5:27">
      <c r="E358"/>
      <c r="AA358" s="4"/>
    </row>
    <row r="359" spans="5:27">
      <c r="E359"/>
      <c r="AA359" s="4"/>
    </row>
    <row r="360" spans="5:27">
      <c r="E360"/>
      <c r="AA360" s="4"/>
    </row>
    <row r="361" spans="5:27">
      <c r="E361"/>
      <c r="AA361" s="4"/>
    </row>
    <row r="362" spans="5:27">
      <c r="E362"/>
      <c r="AA362" s="4"/>
    </row>
    <row r="363" spans="5:27">
      <c r="E363"/>
      <c r="AA363" s="4"/>
    </row>
    <row r="364" spans="5:27">
      <c r="E364"/>
      <c r="AA364" s="4"/>
    </row>
    <row r="365" spans="5:27">
      <c r="E365"/>
      <c r="AA365" s="4"/>
    </row>
    <row r="366" spans="5:27">
      <c r="E366"/>
      <c r="AA366" s="4"/>
    </row>
    <row r="367" spans="5:27">
      <c r="E367"/>
      <c r="AA367" s="4"/>
    </row>
    <row r="368" spans="5:27">
      <c r="E368"/>
      <c r="AA368" s="4"/>
    </row>
    <row r="369" spans="5:27">
      <c r="E369"/>
      <c r="AA369" s="4"/>
    </row>
    <row r="370" spans="5:27">
      <c r="E370"/>
      <c r="AA370" s="4"/>
    </row>
    <row r="371" spans="5:27">
      <c r="E371"/>
      <c r="AA371" s="4"/>
    </row>
    <row r="372" spans="5:27">
      <c r="E372"/>
      <c r="AA372" s="4"/>
    </row>
    <row r="373" spans="5:27">
      <c r="E373"/>
      <c r="AA373" s="4"/>
    </row>
    <row r="374" spans="5:27">
      <c r="E374"/>
      <c r="AA374" s="4"/>
    </row>
    <row r="375" spans="5:27">
      <c r="E375"/>
      <c r="AA375" s="4"/>
    </row>
    <row r="376" spans="5:27">
      <c r="E376"/>
      <c r="AA376" s="4"/>
    </row>
    <row r="377" spans="5:27">
      <c r="E377"/>
      <c r="AA377" s="4"/>
    </row>
    <row r="378" spans="5:27">
      <c r="E378"/>
      <c r="AA378" s="4"/>
    </row>
    <row r="379" spans="5:27">
      <c r="E379"/>
      <c r="AA379" s="4"/>
    </row>
    <row r="380" spans="5:27">
      <c r="E380"/>
      <c r="AA380" s="4"/>
    </row>
    <row r="381" spans="5:27">
      <c r="E381"/>
      <c r="AA381" s="4"/>
    </row>
    <row r="382" spans="5:27">
      <c r="E382"/>
      <c r="AA382" s="4"/>
    </row>
    <row r="383" spans="5:27">
      <c r="E383"/>
      <c r="AA383" s="4"/>
    </row>
    <row r="384" spans="5:27">
      <c r="E384"/>
      <c r="AA384" s="4"/>
    </row>
    <row r="385" spans="5:27">
      <c r="E385"/>
      <c r="AA385" s="4"/>
    </row>
    <row r="386" spans="5:27">
      <c r="E386"/>
      <c r="AA386" s="4"/>
    </row>
    <row r="387" spans="5:27">
      <c r="E387"/>
      <c r="AA387" s="4"/>
    </row>
    <row r="388" spans="5:27">
      <c r="E388"/>
      <c r="AA388" s="4"/>
    </row>
    <row r="389" spans="5:27">
      <c r="E389"/>
      <c r="AA389" s="4"/>
    </row>
    <row r="390" spans="5:27">
      <c r="E390"/>
      <c r="AA390" s="4"/>
    </row>
    <row r="391" spans="5:27">
      <c r="E391"/>
      <c r="AA391" s="4"/>
    </row>
    <row r="392" spans="5:27">
      <c r="E392"/>
      <c r="AA392" s="4"/>
    </row>
    <row r="393" spans="5:27">
      <c r="E393"/>
      <c r="AA393" s="4"/>
    </row>
    <row r="394" spans="5:27">
      <c r="E394"/>
      <c r="AA394" s="4"/>
    </row>
    <row r="395" spans="5:27">
      <c r="E395"/>
      <c r="AA395" s="4"/>
    </row>
    <row r="396" spans="5:27">
      <c r="E396"/>
      <c r="AA396" s="4"/>
    </row>
    <row r="397" spans="5:27">
      <c r="E397"/>
      <c r="AA397" s="4"/>
    </row>
    <row r="398" spans="5:27">
      <c r="E398"/>
      <c r="AA398" s="4"/>
    </row>
    <row r="399" spans="5:27">
      <c r="E399"/>
      <c r="AA399" s="4"/>
    </row>
    <row r="400" spans="5:27">
      <c r="E400"/>
      <c r="AA400" s="4"/>
    </row>
    <row r="401" spans="5:27">
      <c r="E401"/>
      <c r="AA401" s="4"/>
    </row>
    <row r="402" spans="5:27">
      <c r="E402"/>
      <c r="AA402" s="4"/>
    </row>
    <row r="403" spans="5:27">
      <c r="E403"/>
      <c r="AA403" s="4"/>
    </row>
    <row r="404" spans="5:27">
      <c r="E404"/>
      <c r="AA404" s="4"/>
    </row>
    <row r="405" spans="5:27">
      <c r="E405"/>
      <c r="AA405" s="4"/>
    </row>
    <row r="406" spans="5:27">
      <c r="E406"/>
      <c r="AA406" s="4"/>
    </row>
    <row r="407" spans="5:27">
      <c r="E407"/>
      <c r="AA407" s="4"/>
    </row>
    <row r="408" spans="5:27">
      <c r="E408"/>
      <c r="AA408" s="4"/>
    </row>
    <row r="409" spans="5:27">
      <c r="E409"/>
      <c r="AA409" s="4"/>
    </row>
    <row r="410" spans="5:27">
      <c r="E410"/>
      <c r="AA410" s="4"/>
    </row>
    <row r="411" spans="5:27">
      <c r="E411"/>
      <c r="AA411" s="4"/>
    </row>
    <row r="412" spans="5:27">
      <c r="E412"/>
      <c r="AA412" s="4"/>
    </row>
    <row r="413" spans="5:27">
      <c r="E413"/>
      <c r="AA413" s="4"/>
    </row>
    <row r="414" spans="5:27">
      <c r="E414"/>
      <c r="AA414" s="4"/>
    </row>
    <row r="415" spans="5:27">
      <c r="E415"/>
      <c r="AA415" s="4"/>
    </row>
    <row r="416" spans="5:27">
      <c r="E416"/>
      <c r="AA416" s="4"/>
    </row>
    <row r="417" spans="5:27">
      <c r="E417"/>
      <c r="AA417" s="4"/>
    </row>
    <row r="418" spans="5:27">
      <c r="E418"/>
      <c r="AA418" s="4"/>
    </row>
    <row r="419" spans="5:27">
      <c r="E419"/>
      <c r="AA419" s="4"/>
    </row>
    <row r="420" spans="5:27">
      <c r="E420"/>
      <c r="AA420" s="4"/>
    </row>
    <row r="421" spans="5:27">
      <c r="E421"/>
      <c r="AA421" s="4"/>
    </row>
    <row r="422" spans="5:27">
      <c r="E422"/>
      <c r="AA422" s="4"/>
    </row>
    <row r="423" spans="5:27">
      <c r="E423"/>
      <c r="AA423" s="4"/>
    </row>
    <row r="424" spans="5:27">
      <c r="E424"/>
      <c r="AA424" s="4"/>
    </row>
    <row r="425" spans="5:27">
      <c r="E425"/>
      <c r="AA425" s="4"/>
    </row>
    <row r="426" spans="5:27">
      <c r="E426"/>
      <c r="AA426" s="4"/>
    </row>
    <row r="427" spans="5:27">
      <c r="E427"/>
      <c r="AA427" s="4"/>
    </row>
    <row r="428" spans="5:27">
      <c r="E428"/>
      <c r="AA428" s="4"/>
    </row>
    <row r="429" spans="5:27">
      <c r="E429"/>
      <c r="AA429" s="4"/>
    </row>
    <row r="430" spans="5:27">
      <c r="E430"/>
      <c r="AA430" s="4"/>
    </row>
    <row r="431" spans="5:27">
      <c r="E431"/>
      <c r="AA431" s="4"/>
    </row>
    <row r="432" spans="5:27">
      <c r="E432"/>
      <c r="AA432" s="4"/>
    </row>
    <row r="433" spans="5:27">
      <c r="E433"/>
      <c r="AA433" s="4"/>
    </row>
    <row r="434" spans="5:27">
      <c r="E434"/>
      <c r="AA434" s="4"/>
    </row>
    <row r="435" spans="5:27">
      <c r="E435"/>
      <c r="AA435" s="4"/>
    </row>
    <row r="436" spans="5:27">
      <c r="E436"/>
      <c r="AA436" s="4"/>
    </row>
    <row r="437" spans="5:27">
      <c r="E437"/>
      <c r="AA437" s="4"/>
    </row>
    <row r="438" spans="5:27">
      <c r="E438"/>
      <c r="AA438" s="4"/>
    </row>
    <row r="439" spans="5:27">
      <c r="E439"/>
      <c r="AA439" s="4"/>
    </row>
    <row r="440" spans="5:27">
      <c r="E440"/>
      <c r="AA440" s="4"/>
    </row>
    <row r="441" spans="5:27">
      <c r="E441"/>
      <c r="AA441" s="4"/>
    </row>
    <row r="442" spans="5:27">
      <c r="E442"/>
      <c r="AA442" s="4"/>
    </row>
    <row r="443" spans="5:27">
      <c r="E443"/>
      <c r="AA443" s="4"/>
    </row>
    <row r="444" spans="5:27">
      <c r="E444"/>
      <c r="AA444" s="4"/>
    </row>
    <row r="445" spans="5:27">
      <c r="E445"/>
      <c r="AA445" s="4"/>
    </row>
    <row r="446" spans="5:27">
      <c r="E446"/>
      <c r="AA446" s="4"/>
    </row>
    <row r="447" spans="5:27">
      <c r="E447"/>
      <c r="AA447" s="4"/>
    </row>
    <row r="448" spans="5:27">
      <c r="E448"/>
      <c r="AA448" s="4"/>
    </row>
    <row r="449" spans="5:27">
      <c r="E449"/>
      <c r="AA449" s="4"/>
    </row>
    <row r="450" spans="5:27">
      <c r="E450"/>
      <c r="AA450" s="4"/>
    </row>
    <row r="451" spans="5:27">
      <c r="E451"/>
      <c r="AA451" s="4"/>
    </row>
    <row r="452" spans="5:27">
      <c r="E452"/>
      <c r="AA452" s="4"/>
    </row>
    <row r="453" spans="5:27">
      <c r="E453"/>
      <c r="AA453" s="4"/>
    </row>
    <row r="454" spans="5:27">
      <c r="E454"/>
      <c r="AA454" s="4"/>
    </row>
    <row r="455" spans="5:27">
      <c r="E455"/>
      <c r="AA455" s="4"/>
    </row>
    <row r="456" spans="5:27">
      <c r="E456"/>
      <c r="AA456" s="4"/>
    </row>
    <row r="457" spans="5:27">
      <c r="E457"/>
      <c r="AA457" s="4"/>
    </row>
    <row r="458" spans="5:27">
      <c r="E458"/>
      <c r="AA458" s="4"/>
    </row>
    <row r="459" spans="5:27">
      <c r="E459"/>
      <c r="AA459" s="4"/>
    </row>
    <row r="460" spans="5:27">
      <c r="E460"/>
      <c r="AA460" s="4"/>
    </row>
    <row r="461" spans="5:27">
      <c r="E461"/>
      <c r="AA461" s="4"/>
    </row>
    <row r="462" spans="5:27">
      <c r="E462"/>
      <c r="AA462" s="4"/>
    </row>
    <row r="463" spans="5:27">
      <c r="E463"/>
      <c r="AA463" s="4"/>
    </row>
    <row r="464" spans="5:27">
      <c r="E464"/>
      <c r="AA464" s="4"/>
    </row>
    <row r="465" spans="5:27">
      <c r="E465"/>
      <c r="AA465" s="4"/>
    </row>
    <row r="466" spans="5:27">
      <c r="E466"/>
      <c r="AA466" s="4"/>
    </row>
    <row r="467" spans="5:27">
      <c r="E467"/>
      <c r="AA467" s="4"/>
    </row>
    <row r="468" spans="5:27">
      <c r="E468"/>
      <c r="AA468" s="4"/>
    </row>
    <row r="469" spans="5:27">
      <c r="E469"/>
      <c r="AA469" s="4"/>
    </row>
    <row r="470" spans="5:27">
      <c r="E470"/>
      <c r="AA470" s="4"/>
    </row>
    <row r="471" spans="5:27">
      <c r="E471"/>
      <c r="AA471" s="4"/>
    </row>
    <row r="472" spans="5:27">
      <c r="E472"/>
      <c r="AA472" s="4"/>
    </row>
    <row r="473" spans="5:27">
      <c r="E473"/>
      <c r="AA473" s="4"/>
    </row>
    <row r="474" spans="5:27">
      <c r="E474"/>
      <c r="AA474" s="4"/>
    </row>
    <row r="475" spans="5:27">
      <c r="E475"/>
      <c r="AA475" s="4"/>
    </row>
    <row r="476" spans="5:27">
      <c r="E476"/>
      <c r="AA476" s="4"/>
    </row>
    <row r="477" spans="5:27">
      <c r="E477"/>
      <c r="AA477" s="4"/>
    </row>
    <row r="478" spans="5:27">
      <c r="E478"/>
      <c r="AA478" s="4"/>
    </row>
    <row r="479" spans="5:27">
      <c r="E479"/>
      <c r="AA479" s="4"/>
    </row>
    <row r="480" spans="5:27">
      <c r="E480"/>
      <c r="AA480" s="4"/>
    </row>
    <row r="481" spans="5:27">
      <c r="E481"/>
      <c r="AA481" s="4"/>
    </row>
    <row r="482" spans="5:27">
      <c r="E482"/>
      <c r="AA482" s="4"/>
    </row>
    <row r="483" spans="5:27">
      <c r="E483"/>
      <c r="AA483" s="4"/>
    </row>
    <row r="484" spans="5:27">
      <c r="E484"/>
      <c r="AA484" s="4"/>
    </row>
    <row r="485" spans="5:27">
      <c r="E485"/>
      <c r="AA485" s="4"/>
    </row>
    <row r="486" spans="5:27">
      <c r="E486"/>
      <c r="AA486" s="4"/>
    </row>
    <row r="487" spans="5:27">
      <c r="E487"/>
      <c r="AA487" s="4"/>
    </row>
    <row r="488" spans="5:27">
      <c r="E488"/>
      <c r="AA488" s="4"/>
    </row>
    <row r="489" spans="5:27">
      <c r="E489"/>
      <c r="AA489" s="4"/>
    </row>
    <row r="490" spans="5:27">
      <c r="E490"/>
      <c r="AA490" s="4"/>
    </row>
    <row r="491" spans="5:27">
      <c r="E491"/>
      <c r="AA491" s="4"/>
    </row>
    <row r="492" spans="5:27">
      <c r="E492"/>
      <c r="AA492" s="4"/>
    </row>
    <row r="493" spans="5:27">
      <c r="E493"/>
      <c r="AA493" s="4"/>
    </row>
    <row r="494" spans="5:27">
      <c r="E494"/>
      <c r="AA494" s="4"/>
    </row>
    <row r="495" spans="5:27">
      <c r="E495"/>
      <c r="AA495" s="4"/>
    </row>
    <row r="496" spans="5:27">
      <c r="E496"/>
      <c r="AA496" s="4"/>
    </row>
    <row r="497" spans="5:27">
      <c r="E497"/>
      <c r="AA497" s="4"/>
    </row>
    <row r="498" spans="5:27">
      <c r="E498"/>
      <c r="AA498" s="4"/>
    </row>
    <row r="499" spans="5:27">
      <c r="E499"/>
      <c r="AA499" s="4"/>
    </row>
    <row r="500" spans="5:27">
      <c r="E500"/>
      <c r="AA500" s="4"/>
    </row>
    <row r="501" spans="5:27">
      <c r="E501"/>
      <c r="AA501" s="4"/>
    </row>
    <row r="502" spans="5:27">
      <c r="E502"/>
      <c r="AA502" s="4"/>
    </row>
    <row r="503" spans="5:27">
      <c r="E503"/>
      <c r="AA503" s="4"/>
    </row>
    <row r="504" spans="5:27">
      <c r="E504"/>
      <c r="AA504" s="4"/>
    </row>
    <row r="505" spans="5:27">
      <c r="E505"/>
      <c r="AA505" s="4"/>
    </row>
    <row r="506" spans="5:27">
      <c r="E506"/>
      <c r="AA506" s="4"/>
    </row>
    <row r="507" spans="5:27">
      <c r="E507"/>
      <c r="AA507" s="4"/>
    </row>
    <row r="508" spans="5:27">
      <c r="E508"/>
      <c r="AA508" s="4"/>
    </row>
    <row r="509" spans="5:27">
      <c r="E509"/>
      <c r="AA509" s="4"/>
    </row>
    <row r="510" spans="5:27">
      <c r="E510"/>
      <c r="AA510" s="4"/>
    </row>
    <row r="511" spans="5:27">
      <c r="E511"/>
      <c r="AA511" s="4"/>
    </row>
    <row r="512" spans="5:27">
      <c r="E512"/>
      <c r="AA512" s="4"/>
    </row>
    <row r="513" spans="5:27">
      <c r="E513"/>
      <c r="AA513" s="4"/>
    </row>
    <row r="514" spans="5:27">
      <c r="E514"/>
      <c r="AA514" s="4"/>
    </row>
    <row r="515" spans="5:27">
      <c r="E515"/>
      <c r="AA515" s="4"/>
    </row>
    <row r="516" spans="5:27">
      <c r="E516"/>
      <c r="AA516" s="4"/>
    </row>
    <row r="517" spans="5:27">
      <c r="E517"/>
      <c r="AA517" s="4"/>
    </row>
    <row r="518" spans="5:27">
      <c r="E518"/>
      <c r="AA518" s="4"/>
    </row>
    <row r="519" spans="5:27">
      <c r="E519"/>
      <c r="AA519" s="4"/>
    </row>
    <row r="520" spans="5:27">
      <c r="E520"/>
      <c r="AA520" s="4"/>
    </row>
    <row r="521" spans="5:27">
      <c r="E521"/>
      <c r="AA521" s="4"/>
    </row>
    <row r="522" spans="5:27">
      <c r="E522"/>
      <c r="AA522" s="4"/>
    </row>
    <row r="523" spans="5:27">
      <c r="E523"/>
      <c r="AA523" s="4"/>
    </row>
    <row r="524" spans="5:27">
      <c r="E524"/>
      <c r="AA524" s="4"/>
    </row>
    <row r="525" spans="5:27">
      <c r="E525"/>
      <c r="AA525" s="4"/>
    </row>
    <row r="526" spans="5:27">
      <c r="E526"/>
      <c r="AA526" s="4"/>
    </row>
    <row r="527" spans="5:27">
      <c r="E527"/>
      <c r="AA527" s="4"/>
    </row>
    <row r="528" spans="5:27">
      <c r="E528"/>
      <c r="AA528" s="4"/>
    </row>
    <row r="529" spans="5:27">
      <c r="E529"/>
      <c r="AA529" s="4"/>
    </row>
    <row r="530" spans="5:27">
      <c r="E530"/>
      <c r="AA530" s="4"/>
    </row>
    <row r="531" spans="5:27">
      <c r="E531"/>
      <c r="AA531" s="4"/>
    </row>
    <row r="532" spans="5:27">
      <c r="E532"/>
      <c r="AA532" s="4"/>
    </row>
    <row r="533" spans="5:27">
      <c r="E533"/>
      <c r="AA533" s="4"/>
    </row>
    <row r="534" spans="5:27">
      <c r="E534"/>
      <c r="AA534" s="4"/>
    </row>
    <row r="535" spans="5:27">
      <c r="E535"/>
      <c r="AA535" s="4"/>
    </row>
    <row r="536" spans="5:27">
      <c r="E536"/>
      <c r="AA536" s="4"/>
    </row>
    <row r="537" spans="5:27">
      <c r="E537"/>
      <c r="AA537" s="4"/>
    </row>
    <row r="538" spans="5:27">
      <c r="E538"/>
      <c r="AA538" s="4"/>
    </row>
    <row r="539" spans="5:27">
      <c r="E539"/>
      <c r="AA539" s="4"/>
    </row>
    <row r="540" spans="5:27">
      <c r="E540"/>
      <c r="AA540" s="4"/>
    </row>
    <row r="541" spans="5:27">
      <c r="E541"/>
      <c r="AA541" s="4"/>
    </row>
    <row r="542" spans="5:27">
      <c r="E542"/>
      <c r="AA542" s="4"/>
    </row>
    <row r="543" spans="5:27">
      <c r="E543"/>
      <c r="AA543" s="4"/>
    </row>
    <row r="544" spans="5:27">
      <c r="E544"/>
      <c r="AA544" s="4"/>
    </row>
    <row r="545" spans="5:27">
      <c r="E545"/>
      <c r="AA545" s="4"/>
    </row>
    <row r="546" spans="5:27">
      <c r="E546"/>
      <c r="AA546" s="4"/>
    </row>
    <row r="547" spans="5:27">
      <c r="E547"/>
      <c r="AA547" s="4"/>
    </row>
    <row r="548" spans="5:27">
      <c r="E548"/>
      <c r="AA548" s="4"/>
    </row>
    <row r="549" spans="5:27">
      <c r="E549"/>
      <c r="AA549" s="4"/>
    </row>
    <row r="550" spans="5:27">
      <c r="E550"/>
      <c r="AA550" s="4"/>
    </row>
    <row r="551" spans="5:27">
      <c r="E551"/>
      <c r="AA551" s="4"/>
    </row>
    <row r="552" spans="5:27">
      <c r="E552"/>
      <c r="AA552" s="4"/>
    </row>
    <row r="553" spans="5:27">
      <c r="E553"/>
      <c r="AA553" s="4"/>
    </row>
    <row r="554" spans="5:27">
      <c r="E554"/>
      <c r="AA554" s="4"/>
    </row>
    <row r="555" spans="5:27">
      <c r="E555"/>
      <c r="AA555" s="4"/>
    </row>
    <row r="556" spans="5:27">
      <c r="E556"/>
      <c r="AA556" s="4"/>
    </row>
    <row r="557" spans="5:27">
      <c r="E557"/>
      <c r="AA557" s="4"/>
    </row>
    <row r="558" spans="5:27">
      <c r="E558"/>
      <c r="AA558" s="4"/>
    </row>
    <row r="559" spans="5:27">
      <c r="E559"/>
      <c r="AA559" s="4"/>
    </row>
    <row r="560" spans="5:27">
      <c r="E560"/>
      <c r="AA560" s="4"/>
    </row>
    <row r="561" spans="5:27">
      <c r="E561"/>
      <c r="AA561" s="4"/>
    </row>
    <row r="562" spans="5:27">
      <c r="E562"/>
      <c r="AA562" s="4"/>
    </row>
    <row r="563" spans="5:27">
      <c r="E563"/>
      <c r="AA563" s="4"/>
    </row>
    <row r="564" spans="5:27">
      <c r="E564"/>
      <c r="AA564" s="4"/>
    </row>
    <row r="565" spans="5:27">
      <c r="E565"/>
      <c r="AA565" s="4"/>
    </row>
    <row r="566" spans="5:27">
      <c r="E566"/>
      <c r="AA566" s="4"/>
    </row>
    <row r="567" spans="5:27">
      <c r="E567"/>
      <c r="AA567" s="4"/>
    </row>
    <row r="568" spans="5:27">
      <c r="E568"/>
      <c r="AA568" s="4"/>
    </row>
    <row r="569" spans="5:27">
      <c r="E569"/>
      <c r="AA569" s="4"/>
    </row>
    <row r="570" spans="5:27">
      <c r="E570"/>
      <c r="AA570" s="4"/>
    </row>
    <row r="571" spans="5:27">
      <c r="E571"/>
      <c r="AA571" s="4"/>
    </row>
    <row r="572" spans="5:27">
      <c r="E572"/>
      <c r="AA572" s="4"/>
    </row>
    <row r="573" spans="5:27">
      <c r="E573"/>
      <c r="AA573" s="4"/>
    </row>
    <row r="574" spans="5:27">
      <c r="E574"/>
      <c r="AA574" s="4"/>
    </row>
    <row r="575" spans="5:27">
      <c r="E575"/>
      <c r="AA575" s="4"/>
    </row>
    <row r="576" spans="5:27">
      <c r="E576"/>
      <c r="AA576" s="4"/>
    </row>
    <row r="577" spans="5:27">
      <c r="E577"/>
      <c r="AA577" s="4"/>
    </row>
    <row r="578" spans="5:27">
      <c r="E578"/>
      <c r="AA578" s="4"/>
    </row>
    <row r="579" spans="5:27">
      <c r="E579"/>
      <c r="AA579" s="4"/>
    </row>
    <row r="580" spans="5:27">
      <c r="E580"/>
      <c r="AA580" s="4"/>
    </row>
    <row r="581" spans="5:27">
      <c r="E581"/>
      <c r="AA581" s="4"/>
    </row>
    <row r="582" spans="5:27">
      <c r="E582"/>
      <c r="AA582" s="4"/>
    </row>
    <row r="583" spans="5:27">
      <c r="E583"/>
      <c r="AA583" s="4"/>
    </row>
    <row r="584" spans="5:27">
      <c r="E584"/>
      <c r="AA584" s="4"/>
    </row>
    <row r="585" spans="5:27">
      <c r="E585"/>
      <c r="AA585" s="4"/>
    </row>
    <row r="586" spans="5:27">
      <c r="E586"/>
      <c r="AA586" s="4"/>
    </row>
    <row r="587" spans="5:27">
      <c r="E587"/>
      <c r="AA587" s="4"/>
    </row>
    <row r="588" spans="5:27">
      <c r="E588"/>
      <c r="AA588" s="4"/>
    </row>
    <row r="589" spans="5:27">
      <c r="E589"/>
      <c r="AA589" s="4"/>
    </row>
    <row r="590" spans="5:27">
      <c r="E590"/>
      <c r="AA590" s="4"/>
    </row>
    <row r="591" spans="5:27">
      <c r="E591"/>
      <c r="AA591" s="4"/>
    </row>
    <row r="592" spans="5:27">
      <c r="E592"/>
      <c r="AA592" s="4"/>
    </row>
    <row r="593" spans="5:27">
      <c r="E593"/>
      <c r="AA593" s="4"/>
    </row>
    <row r="594" spans="5:27">
      <c r="E594"/>
      <c r="AA594" s="4"/>
    </row>
    <row r="595" spans="5:27">
      <c r="E595"/>
      <c r="AA595" s="4"/>
    </row>
    <row r="596" spans="5:27">
      <c r="E596"/>
      <c r="AA596" s="4"/>
    </row>
    <row r="597" spans="5:27">
      <c r="E597"/>
      <c r="AA597" s="4"/>
    </row>
    <row r="598" spans="5:27">
      <c r="E598"/>
      <c r="AA598" s="4"/>
    </row>
    <row r="599" spans="5:27">
      <c r="E599"/>
      <c r="AA599" s="4"/>
    </row>
    <row r="600" spans="5:27">
      <c r="E600"/>
      <c r="AA600" s="4"/>
    </row>
    <row r="601" spans="5:27">
      <c r="E601"/>
      <c r="AA601" s="4"/>
    </row>
    <row r="602" spans="5:27">
      <c r="E602"/>
      <c r="AA602" s="4"/>
    </row>
    <row r="603" spans="5:27">
      <c r="E603"/>
      <c r="AA603" s="4"/>
    </row>
    <row r="604" spans="5:27">
      <c r="E604"/>
      <c r="AA604" s="4"/>
    </row>
    <row r="605" spans="5:27">
      <c r="E605"/>
      <c r="AA605" s="4"/>
    </row>
    <row r="606" spans="5:27">
      <c r="E606"/>
      <c r="AA606" s="4"/>
    </row>
    <row r="607" spans="5:27">
      <c r="E607"/>
      <c r="AA607" s="4"/>
    </row>
    <row r="608" spans="5:27">
      <c r="E608"/>
      <c r="AA608" s="4"/>
    </row>
    <row r="609" spans="5:27">
      <c r="E609"/>
      <c r="AA609" s="4"/>
    </row>
    <row r="610" spans="5:27">
      <c r="E610"/>
      <c r="AA610" s="4"/>
    </row>
    <row r="611" spans="5:27">
      <c r="E611"/>
      <c r="AA611" s="4"/>
    </row>
    <row r="612" spans="5:27">
      <c r="E612"/>
      <c r="AA612" s="4"/>
    </row>
    <row r="613" spans="5:27">
      <c r="E613"/>
      <c r="AA613" s="4"/>
    </row>
    <row r="614" spans="5:27">
      <c r="E614"/>
      <c r="AA614" s="4"/>
    </row>
    <row r="615" spans="5:27">
      <c r="E615"/>
      <c r="AA615" s="4"/>
    </row>
    <row r="616" spans="5:27">
      <c r="E616"/>
      <c r="AA616" s="4"/>
    </row>
    <row r="617" spans="5:27">
      <c r="E617"/>
      <c r="AA617" s="4"/>
    </row>
    <row r="618" spans="5:27">
      <c r="E618"/>
      <c r="AA618" s="4"/>
    </row>
    <row r="619" spans="5:27">
      <c r="E619"/>
      <c r="AA619" s="4"/>
    </row>
    <row r="620" spans="5:27">
      <c r="E620"/>
      <c r="AA620" s="4"/>
    </row>
    <row r="621" spans="5:27">
      <c r="E621"/>
      <c r="AA621" s="4"/>
    </row>
    <row r="622" spans="5:27">
      <c r="E622"/>
      <c r="AA622" s="4"/>
    </row>
    <row r="623" spans="5:27">
      <c r="E623"/>
      <c r="AA623" s="4"/>
    </row>
    <row r="624" spans="5:27">
      <c r="E624"/>
      <c r="AA624" s="4"/>
    </row>
    <row r="625" spans="5:27">
      <c r="E625"/>
      <c r="AA625" s="4"/>
    </row>
    <row r="626" spans="5:27">
      <c r="E626"/>
      <c r="AA626" s="4"/>
    </row>
    <row r="627" spans="5:27">
      <c r="E627"/>
      <c r="AA627" s="4"/>
    </row>
    <row r="628" spans="5:27">
      <c r="E628"/>
      <c r="AA628" s="4"/>
    </row>
    <row r="629" spans="5:27">
      <c r="E629"/>
      <c r="AA629" s="4"/>
    </row>
    <row r="630" spans="5:27">
      <c r="E630"/>
      <c r="AA630" s="4"/>
    </row>
    <row r="631" spans="5:27">
      <c r="E631"/>
      <c r="AA631" s="4"/>
    </row>
    <row r="632" spans="5:27">
      <c r="E632"/>
      <c r="AA632" s="4"/>
    </row>
    <row r="633" spans="5:27">
      <c r="E633"/>
      <c r="AA633" s="4"/>
    </row>
    <row r="634" spans="5:27">
      <c r="E634"/>
      <c r="AA634" s="4"/>
    </row>
    <row r="635" spans="5:27">
      <c r="E635"/>
      <c r="AA635" s="4"/>
    </row>
    <row r="636" spans="5:27">
      <c r="E636"/>
      <c r="AA636" s="4"/>
    </row>
    <row r="637" spans="5:27">
      <c r="E637"/>
      <c r="AA637" s="4"/>
    </row>
    <row r="638" spans="5:27">
      <c r="E638"/>
      <c r="AA638" s="4"/>
    </row>
    <row r="639" spans="5:27">
      <c r="E639"/>
      <c r="AA639" s="4"/>
    </row>
    <row r="640" spans="5:27">
      <c r="E640"/>
      <c r="AA640" s="4"/>
    </row>
    <row r="641" spans="5:27">
      <c r="E641"/>
      <c r="AA641" s="4"/>
    </row>
    <row r="642" spans="5:27">
      <c r="E642"/>
      <c r="AA642" s="4"/>
    </row>
    <row r="643" spans="5:27">
      <c r="E643"/>
      <c r="AA643" s="4"/>
    </row>
    <row r="644" spans="5:27">
      <c r="E644"/>
      <c r="AA644" s="4"/>
    </row>
    <row r="645" spans="5:27">
      <c r="E645"/>
      <c r="AA645" s="4"/>
    </row>
    <row r="646" spans="5:27">
      <c r="E646"/>
      <c r="AA646" s="4"/>
    </row>
    <row r="647" spans="5:27">
      <c r="E647"/>
      <c r="AA647" s="4"/>
    </row>
    <row r="648" spans="5:27">
      <c r="E648"/>
      <c r="AA648" s="4"/>
    </row>
    <row r="649" spans="5:27">
      <c r="E649"/>
      <c r="AA649" s="4"/>
    </row>
    <row r="650" spans="5:27">
      <c r="E650"/>
      <c r="AA650" s="4"/>
    </row>
    <row r="651" spans="5:27">
      <c r="E651"/>
      <c r="AA651" s="4"/>
    </row>
    <row r="652" spans="5:27">
      <c r="E652"/>
      <c r="AA652" s="4"/>
    </row>
    <row r="653" spans="5:27">
      <c r="E653"/>
      <c r="AA653" s="4"/>
    </row>
    <row r="654" spans="5:27">
      <c r="E654"/>
      <c r="AA654" s="4"/>
    </row>
    <row r="655" spans="5:27">
      <c r="E655"/>
      <c r="AA655" s="4"/>
    </row>
    <row r="656" spans="5:27">
      <c r="E656"/>
      <c r="AA656" s="4"/>
    </row>
    <row r="657" spans="5:27">
      <c r="E657"/>
      <c r="AA657" s="4"/>
    </row>
    <row r="658" spans="5:27">
      <c r="E658"/>
      <c r="AA658" s="4"/>
    </row>
    <row r="659" spans="5:27">
      <c r="E659"/>
      <c r="AA659" s="4"/>
    </row>
    <row r="660" spans="5:27">
      <c r="E660"/>
      <c r="AA660" s="4"/>
    </row>
    <row r="661" spans="5:27">
      <c r="E661"/>
      <c r="AA661" s="4"/>
    </row>
    <row r="662" spans="5:27">
      <c r="E662"/>
      <c r="AA662" s="4"/>
    </row>
    <row r="663" spans="5:27">
      <c r="E663"/>
      <c r="AA663" s="4"/>
    </row>
    <row r="664" spans="5:27">
      <c r="E664"/>
      <c r="AA664" s="4"/>
    </row>
    <row r="665" spans="5:27">
      <c r="E665"/>
      <c r="AA665" s="4"/>
    </row>
    <row r="666" spans="5:27">
      <c r="E666"/>
      <c r="AA666" s="4"/>
    </row>
    <row r="667" spans="5:27">
      <c r="E667"/>
      <c r="AA667" s="4"/>
    </row>
    <row r="668" spans="5:27">
      <c r="E668"/>
      <c r="AA668" s="4"/>
    </row>
    <row r="669" spans="5:27">
      <c r="E669"/>
      <c r="AA669" s="4"/>
    </row>
    <row r="670" spans="5:27">
      <c r="E670"/>
      <c r="AA670" s="4"/>
    </row>
    <row r="671" spans="5:27">
      <c r="E671"/>
      <c r="AA671" s="4"/>
    </row>
    <row r="672" spans="5:27">
      <c r="E672"/>
      <c r="AA672" s="4"/>
    </row>
    <row r="673" spans="5:27">
      <c r="E673"/>
      <c r="AA673" s="4"/>
    </row>
    <row r="674" spans="5:27">
      <c r="E674"/>
      <c r="AA674" s="4"/>
    </row>
    <row r="675" spans="5:27">
      <c r="E675"/>
      <c r="AA675" s="4"/>
    </row>
    <row r="676" spans="5:27">
      <c r="E676"/>
      <c r="AA676" s="4"/>
    </row>
    <row r="677" spans="5:27">
      <c r="E677"/>
      <c r="AA677" s="4"/>
    </row>
    <row r="678" spans="5:27">
      <c r="E678"/>
      <c r="AA678" s="4"/>
    </row>
    <row r="679" spans="5:27">
      <c r="E679"/>
      <c r="AA679" s="4"/>
    </row>
    <row r="680" spans="5:27">
      <c r="E680"/>
      <c r="AA680" s="4"/>
    </row>
    <row r="681" spans="5:27">
      <c r="E681"/>
      <c r="AA681" s="4"/>
    </row>
    <row r="682" spans="5:27">
      <c r="E682"/>
      <c r="AA682" s="4"/>
    </row>
    <row r="683" spans="5:27">
      <c r="E683"/>
      <c r="AA683" s="4"/>
    </row>
    <row r="684" spans="5:27">
      <c r="E684"/>
      <c r="AA684" s="4"/>
    </row>
    <row r="685" spans="5:27">
      <c r="E685"/>
      <c r="AA685" s="4"/>
    </row>
    <row r="686" spans="5:27">
      <c r="E686"/>
      <c r="AA686" s="4"/>
    </row>
    <row r="687" spans="5:27">
      <c r="E687"/>
      <c r="AA687" s="4"/>
    </row>
    <row r="688" spans="5:27">
      <c r="E688"/>
      <c r="AA688" s="4"/>
    </row>
    <row r="689" spans="5:27">
      <c r="E689"/>
      <c r="AA689" s="4"/>
    </row>
    <row r="690" spans="5:27">
      <c r="E690"/>
      <c r="AA690" s="4"/>
    </row>
    <row r="691" spans="5:27">
      <c r="E691"/>
      <c r="AA691" s="4"/>
    </row>
    <row r="692" spans="5:27">
      <c r="E692"/>
      <c r="AA692" s="4"/>
    </row>
    <row r="693" spans="5:27">
      <c r="E693"/>
      <c r="AA693" s="4"/>
    </row>
    <row r="694" spans="5:27">
      <c r="E694"/>
      <c r="AA694" s="4"/>
    </row>
    <row r="695" spans="5:27">
      <c r="E695"/>
      <c r="AA695" s="4"/>
    </row>
    <row r="696" spans="5:27">
      <c r="E696"/>
      <c r="AA696" s="4"/>
    </row>
    <row r="697" spans="5:27">
      <c r="E697"/>
      <c r="AA697" s="4"/>
    </row>
    <row r="698" spans="5:27">
      <c r="E698"/>
      <c r="AA698" s="4"/>
    </row>
    <row r="699" spans="5:27">
      <c r="E699"/>
      <c r="AA699" s="4"/>
    </row>
    <row r="700" spans="5:27">
      <c r="E700"/>
      <c r="AA700" s="4"/>
    </row>
    <row r="701" spans="5:27">
      <c r="E701"/>
      <c r="AA701" s="4"/>
    </row>
    <row r="702" spans="5:27">
      <c r="E702"/>
      <c r="AA702" s="4"/>
    </row>
    <row r="703" spans="5:27">
      <c r="E703"/>
      <c r="AA703" s="4"/>
    </row>
    <row r="704" spans="5:27">
      <c r="E704"/>
      <c r="AA704" s="4"/>
    </row>
    <row r="705" spans="5:27">
      <c r="E705"/>
      <c r="AA705" s="4"/>
    </row>
    <row r="706" spans="5:27">
      <c r="E706"/>
      <c r="AA706" s="4"/>
    </row>
    <row r="707" spans="5:27">
      <c r="E707"/>
      <c r="AA707" s="4"/>
    </row>
    <row r="708" spans="5:27">
      <c r="E708"/>
      <c r="AA708" s="4"/>
    </row>
    <row r="709" spans="5:27">
      <c r="E709"/>
      <c r="AA709" s="4"/>
    </row>
    <row r="710" spans="5:27">
      <c r="E710"/>
      <c r="AA710" s="4"/>
    </row>
    <row r="711" spans="5:27">
      <c r="E711"/>
      <c r="AA711" s="4"/>
    </row>
    <row r="712" spans="5:27">
      <c r="E712"/>
      <c r="AA712" s="4"/>
    </row>
    <row r="713" spans="5:27">
      <c r="E713"/>
      <c r="AA713" s="4"/>
    </row>
    <row r="714" spans="5:27">
      <c r="E714"/>
      <c r="AA714" s="4"/>
    </row>
    <row r="715" spans="5:27">
      <c r="E715"/>
      <c r="AA715" s="4"/>
    </row>
    <row r="716" spans="5:27">
      <c r="E716"/>
      <c r="AA716" s="4"/>
    </row>
    <row r="717" spans="5:27">
      <c r="E717"/>
      <c r="AA717" s="4"/>
    </row>
    <row r="718" spans="5:27">
      <c r="E718"/>
      <c r="AA718" s="4"/>
    </row>
    <row r="719" spans="5:27">
      <c r="E719"/>
      <c r="AA719" s="4"/>
    </row>
    <row r="720" spans="5:27">
      <c r="E720"/>
      <c r="AA720" s="4"/>
    </row>
    <row r="721" spans="5:27">
      <c r="E721"/>
      <c r="AA721" s="4"/>
    </row>
    <row r="722" spans="5:27">
      <c r="E722"/>
      <c r="AA722" s="4"/>
    </row>
    <row r="723" spans="5:27">
      <c r="E723"/>
      <c r="AA723" s="4"/>
    </row>
    <row r="724" spans="5:27">
      <c r="E724"/>
      <c r="AA724" s="4"/>
    </row>
    <row r="725" spans="5:27">
      <c r="E725"/>
      <c r="AA725" s="4"/>
    </row>
    <row r="726" spans="5:27">
      <c r="E726"/>
      <c r="AA726" s="4"/>
    </row>
    <row r="727" spans="5:27">
      <c r="E727"/>
      <c r="AA727" s="4"/>
    </row>
    <row r="728" spans="5:27">
      <c r="E728"/>
      <c r="AA728" s="4"/>
    </row>
    <row r="729" spans="5:27">
      <c r="E729"/>
      <c r="AA729" s="4"/>
    </row>
    <row r="730" spans="5:27">
      <c r="E730"/>
      <c r="AA730" s="4"/>
    </row>
    <row r="731" spans="5:27">
      <c r="E731"/>
      <c r="AA731" s="4"/>
    </row>
    <row r="732" spans="5:27">
      <c r="E732"/>
      <c r="AA732" s="4"/>
    </row>
    <row r="733" spans="5:27">
      <c r="E733"/>
      <c r="AA733" s="4"/>
    </row>
    <row r="734" spans="5:27">
      <c r="E734"/>
      <c r="AA734" s="4"/>
    </row>
    <row r="735" spans="5:27">
      <c r="E735"/>
      <c r="AA735" s="4"/>
    </row>
    <row r="736" spans="5:27">
      <c r="E736"/>
      <c r="AA736" s="4"/>
    </row>
    <row r="737" spans="5:27">
      <c r="E737"/>
      <c r="AA737" s="4"/>
    </row>
    <row r="738" spans="5:27">
      <c r="E738"/>
      <c r="AA738" s="4"/>
    </row>
    <row r="739" spans="5:27">
      <c r="E739"/>
      <c r="AA739" s="4"/>
    </row>
    <row r="740" spans="5:27">
      <c r="E740"/>
      <c r="AA740" s="4"/>
    </row>
    <row r="741" spans="5:27">
      <c r="E741"/>
      <c r="AA741" s="4"/>
    </row>
    <row r="742" spans="5:27">
      <c r="E742"/>
      <c r="AA742" s="4"/>
    </row>
    <row r="743" spans="5:27">
      <c r="E743"/>
      <c r="AA743" s="4"/>
    </row>
    <row r="744" spans="5:27">
      <c r="E744"/>
      <c r="AA744" s="4"/>
    </row>
    <row r="745" spans="5:27">
      <c r="E745"/>
      <c r="AA745" s="4"/>
    </row>
    <row r="746" spans="5:27">
      <c r="E746"/>
      <c r="AA746" s="4"/>
    </row>
    <row r="747" spans="5:27">
      <c r="E747"/>
      <c r="AA747" s="4"/>
    </row>
    <row r="748" spans="5:27">
      <c r="E748"/>
      <c r="AA748" s="4"/>
    </row>
    <row r="749" spans="5:27">
      <c r="E749"/>
      <c r="AA749" s="4"/>
    </row>
    <row r="750" spans="5:27">
      <c r="E750"/>
      <c r="AA750" s="4"/>
    </row>
    <row r="751" spans="5:27">
      <c r="E751"/>
      <c r="AA751" s="4"/>
    </row>
    <row r="752" spans="5:27">
      <c r="E752"/>
      <c r="AA752" s="4"/>
    </row>
    <row r="753" spans="5:27">
      <c r="E753"/>
      <c r="AA753" s="4"/>
    </row>
    <row r="754" spans="5:27">
      <c r="E754"/>
      <c r="AA754" s="4"/>
    </row>
    <row r="755" spans="5:27">
      <c r="E755"/>
      <c r="AA755" s="4"/>
    </row>
    <row r="756" spans="5:27">
      <c r="E756"/>
      <c r="AA756" s="4"/>
    </row>
    <row r="757" spans="5:27">
      <c r="E757"/>
      <c r="AA757" s="4"/>
    </row>
    <row r="758" spans="5:27">
      <c r="E758"/>
      <c r="AA758" s="4"/>
    </row>
    <row r="759" spans="5:27">
      <c r="E759"/>
      <c r="AA759" s="4"/>
    </row>
    <row r="760" spans="5:27">
      <c r="E760"/>
      <c r="AA760" s="4"/>
    </row>
    <row r="761" spans="5:27">
      <c r="E761"/>
      <c r="AA761" s="4"/>
    </row>
    <row r="762" spans="5:27">
      <c r="E762"/>
      <c r="AA762" s="4"/>
    </row>
    <row r="763" spans="5:27">
      <c r="E763"/>
      <c r="AA763" s="4"/>
    </row>
    <row r="764" spans="5:27">
      <c r="E764"/>
      <c r="AA764" s="4"/>
    </row>
    <row r="765" spans="5:27">
      <c r="E765"/>
      <c r="AA765" s="4"/>
    </row>
    <row r="766" spans="5:27">
      <c r="E766"/>
      <c r="AA766" s="4"/>
    </row>
    <row r="767" spans="5:27">
      <c r="E767"/>
      <c r="AA767" s="4"/>
    </row>
    <row r="768" spans="5:27">
      <c r="E768"/>
      <c r="AA768" s="4"/>
    </row>
    <row r="769" spans="5:27">
      <c r="E769"/>
      <c r="AA769" s="4"/>
    </row>
    <row r="770" spans="5:27">
      <c r="E770"/>
      <c r="AA770" s="4"/>
    </row>
    <row r="771" spans="5:27">
      <c r="E771"/>
      <c r="AA771" s="4"/>
    </row>
    <row r="772" spans="5:27">
      <c r="E772"/>
      <c r="AA772" s="4"/>
    </row>
    <row r="773" spans="5:27">
      <c r="E773"/>
      <c r="AA773" s="4"/>
    </row>
    <row r="774" spans="5:27">
      <c r="E774"/>
      <c r="AA774" s="4"/>
    </row>
    <row r="775" spans="5:27">
      <c r="E775"/>
      <c r="AA775" s="4"/>
    </row>
    <row r="776" spans="5:27">
      <c r="E776"/>
      <c r="AA776" s="4"/>
    </row>
    <row r="777" spans="5:27">
      <c r="E777"/>
      <c r="AA777" s="4"/>
    </row>
    <row r="778" spans="5:27">
      <c r="E778"/>
      <c r="AA778" s="4"/>
    </row>
    <row r="779" spans="5:27">
      <c r="E779"/>
      <c r="AA779" s="4"/>
    </row>
    <row r="780" spans="5:27">
      <c r="E780"/>
      <c r="AA780" s="4"/>
    </row>
    <row r="781" spans="5:27">
      <c r="E781"/>
      <c r="AA781" s="4"/>
    </row>
    <row r="782" spans="5:27">
      <c r="E782"/>
      <c r="AA782" s="4"/>
    </row>
    <row r="783" spans="5:27">
      <c r="E783"/>
      <c r="AA783" s="4"/>
    </row>
    <row r="784" spans="5:27">
      <c r="E784"/>
      <c r="AA784" s="4"/>
    </row>
    <row r="785" spans="5:27">
      <c r="E785"/>
      <c r="AA785" s="4"/>
    </row>
    <row r="786" spans="5:27">
      <c r="E786"/>
      <c r="AA786" s="4"/>
    </row>
    <row r="787" spans="5:27">
      <c r="E787"/>
      <c r="AA787" s="4"/>
    </row>
    <row r="788" spans="5:27">
      <c r="E788"/>
      <c r="AA788" s="4"/>
    </row>
    <row r="789" spans="5:27">
      <c r="E789"/>
      <c r="AA789" s="4"/>
    </row>
    <row r="790" spans="5:27">
      <c r="E790"/>
      <c r="AA790" s="4"/>
    </row>
    <row r="791" spans="5:27">
      <c r="E791"/>
      <c r="AA791" s="4"/>
    </row>
    <row r="792" spans="5:27">
      <c r="E792"/>
      <c r="AA792" s="4"/>
    </row>
    <row r="793" spans="5:27">
      <c r="E793"/>
      <c r="AA793" s="4"/>
    </row>
    <row r="794" spans="5:27">
      <c r="E794"/>
      <c r="AA794" s="4"/>
    </row>
    <row r="795" spans="5:27">
      <c r="E795"/>
      <c r="AA795" s="4"/>
    </row>
    <row r="796" spans="5:27">
      <c r="E796"/>
      <c r="AA796" s="4"/>
    </row>
    <row r="797" spans="5:27">
      <c r="E797"/>
      <c r="AA797" s="4"/>
    </row>
    <row r="798" spans="5:27">
      <c r="E798"/>
      <c r="AA798" s="4"/>
    </row>
    <row r="799" spans="5:27">
      <c r="E799"/>
      <c r="AA799" s="4"/>
    </row>
    <row r="800" spans="5:27">
      <c r="E800"/>
      <c r="AA800" s="4"/>
    </row>
    <row r="801" spans="5:27">
      <c r="E801"/>
      <c r="AA801" s="4"/>
    </row>
    <row r="802" spans="5:27">
      <c r="E802"/>
      <c r="AA802" s="4"/>
    </row>
    <row r="803" spans="5:27">
      <c r="E803"/>
      <c r="AA803" s="4"/>
    </row>
    <row r="804" spans="5:27">
      <c r="E804"/>
      <c r="AA804" s="4"/>
    </row>
    <row r="805" spans="5:27">
      <c r="E805"/>
      <c r="AA805" s="4"/>
    </row>
    <row r="806" spans="5:27">
      <c r="E806"/>
      <c r="AA806" s="4"/>
    </row>
    <row r="807" spans="5:27">
      <c r="E807"/>
      <c r="AA807" s="4"/>
    </row>
    <row r="808" spans="5:27">
      <c r="E808"/>
      <c r="AA808" s="4"/>
    </row>
    <row r="809" spans="5:27">
      <c r="E809"/>
      <c r="AA809" s="4"/>
    </row>
    <row r="810" spans="5:27">
      <c r="E810"/>
      <c r="AA810" s="4"/>
    </row>
    <row r="811" spans="5:27">
      <c r="E811"/>
      <c r="AA811" s="4"/>
    </row>
    <row r="812" spans="5:27">
      <c r="E812"/>
      <c r="AA812" s="4"/>
    </row>
    <row r="813" spans="5:27">
      <c r="E813"/>
      <c r="AA813" s="4"/>
    </row>
    <row r="814" spans="5:27">
      <c r="E814"/>
      <c r="AA814" s="4"/>
    </row>
    <row r="815" spans="5:27">
      <c r="E815"/>
      <c r="AA815" s="4"/>
    </row>
    <row r="816" spans="5:27">
      <c r="E816"/>
      <c r="AA816" s="4"/>
    </row>
    <row r="817" spans="5:27">
      <c r="E817"/>
      <c r="AA817" s="4"/>
    </row>
    <row r="818" spans="5:27">
      <c r="E818"/>
      <c r="AA818" s="4"/>
    </row>
    <row r="819" spans="5:27">
      <c r="E819"/>
      <c r="AA819" s="4"/>
    </row>
    <row r="820" spans="5:27">
      <c r="E820"/>
      <c r="AA820" s="4"/>
    </row>
    <row r="821" spans="5:27">
      <c r="E821"/>
      <c r="AA821" s="4"/>
    </row>
    <row r="822" spans="5:27">
      <c r="E822"/>
      <c r="AA822" s="4"/>
    </row>
    <row r="823" spans="5:27">
      <c r="E823"/>
      <c r="AA823" s="4"/>
    </row>
    <row r="824" spans="5:27">
      <c r="E824"/>
      <c r="AA824" s="4"/>
    </row>
    <row r="825" spans="5:27">
      <c r="E825"/>
      <c r="AA825" s="4"/>
    </row>
    <row r="826" spans="5:27">
      <c r="E826"/>
      <c r="AA826" s="4"/>
    </row>
    <row r="827" spans="5:27">
      <c r="E827"/>
      <c r="AA827" s="4"/>
    </row>
    <row r="828" spans="5:27">
      <c r="E828"/>
      <c r="AA828" s="4"/>
    </row>
    <row r="829" spans="5:27">
      <c r="E829"/>
      <c r="AA829" s="4"/>
    </row>
    <row r="830" spans="5:27">
      <c r="E830"/>
      <c r="AA830" s="4"/>
    </row>
    <row r="831" spans="5:27">
      <c r="E831"/>
      <c r="AA831" s="4"/>
    </row>
    <row r="832" spans="5:27">
      <c r="E832"/>
      <c r="AA832" s="4"/>
    </row>
    <row r="833" spans="5:27">
      <c r="E833"/>
      <c r="AA833" s="4"/>
    </row>
    <row r="834" spans="5:27">
      <c r="E834"/>
      <c r="AA834" s="4"/>
    </row>
    <row r="835" spans="5:27">
      <c r="E835"/>
      <c r="AA835" s="4"/>
    </row>
    <row r="836" spans="5:27">
      <c r="E836"/>
      <c r="AA836" s="4"/>
    </row>
    <row r="837" spans="5:27">
      <c r="E837"/>
      <c r="AA837" s="4"/>
    </row>
    <row r="838" spans="5:27">
      <c r="E838"/>
      <c r="AA838" s="4"/>
    </row>
    <row r="839" spans="5:27">
      <c r="E839"/>
      <c r="AA839" s="4"/>
    </row>
    <row r="840" spans="5:27">
      <c r="E840"/>
      <c r="AA840" s="4"/>
    </row>
    <row r="841" spans="5:27">
      <c r="E841"/>
      <c r="AA841" s="4"/>
    </row>
    <row r="842" spans="5:27">
      <c r="E842"/>
      <c r="AA842" s="4"/>
    </row>
    <row r="843" spans="5:27">
      <c r="E843"/>
      <c r="AA843" s="4"/>
    </row>
    <row r="844" spans="5:27">
      <c r="E844"/>
      <c r="AA844" s="4"/>
    </row>
    <row r="845" spans="5:27">
      <c r="E845"/>
      <c r="AA845" s="4"/>
    </row>
    <row r="846" spans="5:27">
      <c r="E846"/>
      <c r="AA846" s="4"/>
    </row>
    <row r="847" spans="5:27">
      <c r="E847"/>
      <c r="AA847" s="4"/>
    </row>
    <row r="848" spans="5:27">
      <c r="E848"/>
      <c r="AA848" s="4"/>
    </row>
    <row r="849" spans="5:27">
      <c r="E849"/>
      <c r="AA849" s="4"/>
    </row>
    <row r="850" spans="5:27">
      <c r="E850"/>
      <c r="AA850" s="4"/>
    </row>
    <row r="851" spans="5:27">
      <c r="E851"/>
      <c r="AA851" s="4"/>
    </row>
    <row r="852" spans="5:27">
      <c r="E852"/>
      <c r="AA852" s="4"/>
    </row>
    <row r="853" spans="5:27">
      <c r="E853"/>
      <c r="AA853" s="4"/>
    </row>
    <row r="854" spans="5:27">
      <c r="E854"/>
      <c r="AA854" s="4"/>
    </row>
    <row r="855" spans="5:27">
      <c r="E855"/>
      <c r="AA855" s="4"/>
    </row>
    <row r="856" spans="5:27">
      <c r="E856"/>
      <c r="AA856" s="4"/>
    </row>
    <row r="857" spans="5:27">
      <c r="E857"/>
      <c r="AA857" s="4"/>
    </row>
    <row r="858" spans="5:27">
      <c r="E858"/>
      <c r="AA858" s="4"/>
    </row>
    <row r="859" spans="5:27">
      <c r="E859"/>
      <c r="AA859" s="4"/>
    </row>
    <row r="860" spans="5:27">
      <c r="E860"/>
      <c r="AA860" s="4"/>
    </row>
    <row r="861" spans="5:27">
      <c r="E861"/>
      <c r="AA861" s="4"/>
    </row>
    <row r="862" spans="5:27">
      <c r="E862"/>
      <c r="AA862" s="4"/>
    </row>
    <row r="863" spans="5:27">
      <c r="E863"/>
      <c r="AA863" s="4"/>
    </row>
    <row r="864" spans="5:27">
      <c r="E864"/>
      <c r="AA864" s="4"/>
    </row>
    <row r="865" spans="5:27">
      <c r="E865"/>
      <c r="AA865" s="4"/>
    </row>
    <row r="866" spans="5:27">
      <c r="E866"/>
      <c r="AA866" s="4"/>
    </row>
    <row r="867" spans="5:27">
      <c r="E867"/>
      <c r="AA867" s="4"/>
    </row>
    <row r="868" spans="5:27">
      <c r="E868"/>
      <c r="AA868" s="4"/>
    </row>
    <row r="869" spans="5:27">
      <c r="E869"/>
      <c r="AA869" s="4"/>
    </row>
    <row r="870" spans="5:27">
      <c r="E870"/>
      <c r="AA870" s="4"/>
    </row>
    <row r="871" spans="5:27">
      <c r="E871"/>
      <c r="AA871" s="4"/>
    </row>
    <row r="872" spans="5:27">
      <c r="E872"/>
      <c r="AA872" s="4"/>
    </row>
    <row r="873" spans="5:27">
      <c r="E873"/>
      <c r="AA873" s="4"/>
    </row>
    <row r="874" spans="5:27">
      <c r="E874"/>
      <c r="AA874" s="4"/>
    </row>
    <row r="875" spans="5:27">
      <c r="E875"/>
      <c r="AA875" s="4"/>
    </row>
    <row r="876" spans="5:27">
      <c r="E876"/>
      <c r="AA876" s="4"/>
    </row>
    <row r="877" spans="5:27">
      <c r="E877"/>
      <c r="AA877" s="4"/>
    </row>
    <row r="878" spans="5:27">
      <c r="E878"/>
      <c r="AA878" s="4"/>
    </row>
    <row r="879" spans="5:27">
      <c r="E879"/>
      <c r="AA879" s="4"/>
    </row>
    <row r="880" spans="5:27">
      <c r="E880"/>
      <c r="AA880" s="4"/>
    </row>
    <row r="881" spans="5:27">
      <c r="E881"/>
      <c r="AA881" s="4"/>
    </row>
    <row r="882" spans="5:27">
      <c r="E882"/>
      <c r="AA882" s="4"/>
    </row>
    <row r="883" spans="5:27">
      <c r="E883"/>
      <c r="AA883" s="4"/>
    </row>
    <row r="884" spans="5:27">
      <c r="E884"/>
      <c r="AA884" s="4"/>
    </row>
    <row r="885" spans="5:27">
      <c r="E885"/>
      <c r="AA885" s="4"/>
    </row>
    <row r="886" spans="5:27">
      <c r="E886"/>
      <c r="AA886" s="4"/>
    </row>
    <row r="887" spans="5:27">
      <c r="E887"/>
      <c r="AA887" s="4"/>
    </row>
    <row r="888" spans="5:27">
      <c r="E888"/>
      <c r="AA888" s="4"/>
    </row>
    <row r="889" spans="5:27">
      <c r="E889"/>
      <c r="AA889" s="4"/>
    </row>
    <row r="890" spans="5:27">
      <c r="E890"/>
      <c r="AA890" s="4"/>
    </row>
    <row r="891" spans="5:27">
      <c r="E891"/>
      <c r="AA891" s="4"/>
    </row>
    <row r="892" spans="5:27">
      <c r="E892"/>
      <c r="AA892" s="4"/>
    </row>
    <row r="893" spans="5:27">
      <c r="E893"/>
      <c r="AA893" s="4"/>
    </row>
    <row r="894" spans="5:27">
      <c r="E894"/>
      <c r="AA894" s="4"/>
    </row>
    <row r="895" spans="5:27">
      <c r="E895"/>
      <c r="AA895" s="4"/>
    </row>
    <row r="896" spans="5:27">
      <c r="E896"/>
      <c r="AA896" s="4"/>
    </row>
    <row r="897" spans="5:27">
      <c r="E897"/>
      <c r="AA897" s="4"/>
    </row>
    <row r="898" spans="5:27">
      <c r="E898"/>
      <c r="AA898" s="4"/>
    </row>
    <row r="899" spans="5:27">
      <c r="E899"/>
      <c r="AA899" s="4"/>
    </row>
    <row r="900" spans="5:27">
      <c r="E900"/>
      <c r="AA900" s="4"/>
    </row>
    <row r="901" spans="5:27">
      <c r="E901"/>
      <c r="AA901" s="4"/>
    </row>
    <row r="902" spans="5:27">
      <c r="E902"/>
      <c r="AA902" s="4"/>
    </row>
    <row r="903" spans="5:27">
      <c r="E903"/>
      <c r="AA903" s="4"/>
    </row>
    <row r="904" spans="5:27">
      <c r="E904"/>
      <c r="AA904" s="4"/>
    </row>
    <row r="905" spans="5:27">
      <c r="E905"/>
      <c r="AA905" s="4"/>
    </row>
    <row r="906" spans="5:27">
      <c r="E906"/>
      <c r="AA906" s="4"/>
    </row>
    <row r="907" spans="5:27">
      <c r="E907"/>
      <c r="AA907" s="4"/>
    </row>
    <row r="908" spans="5:27">
      <c r="E908"/>
      <c r="AA908" s="4"/>
    </row>
    <row r="909" spans="5:27">
      <c r="E909"/>
      <c r="AA909" s="4"/>
    </row>
    <row r="910" spans="5:27">
      <c r="E910"/>
      <c r="AA910" s="4"/>
    </row>
    <row r="911" spans="5:27">
      <c r="E911"/>
      <c r="AA911" s="4"/>
    </row>
    <row r="912" spans="5:27">
      <c r="E912"/>
      <c r="AA912" s="4"/>
    </row>
    <row r="913" spans="5:27">
      <c r="E913"/>
      <c r="AA913" s="4"/>
    </row>
    <row r="914" spans="5:27">
      <c r="E914"/>
      <c r="AA914" s="4"/>
    </row>
    <row r="915" spans="5:27">
      <c r="E915"/>
      <c r="AA915" s="4"/>
    </row>
    <row r="916" spans="5:27">
      <c r="E916"/>
      <c r="AA916" s="4"/>
    </row>
    <row r="917" spans="5:27">
      <c r="E917"/>
      <c r="AA917" s="4"/>
    </row>
    <row r="918" spans="5:27">
      <c r="E918"/>
      <c r="AA918" s="4"/>
    </row>
    <row r="919" spans="5:27">
      <c r="E919"/>
      <c r="AA919" s="4"/>
    </row>
    <row r="920" spans="5:27">
      <c r="E920"/>
      <c r="AA920" s="4"/>
    </row>
    <row r="921" spans="5:27">
      <c r="E921"/>
      <c r="AA921" s="4"/>
    </row>
    <row r="922" spans="5:27">
      <c r="E922"/>
      <c r="AA922" s="4"/>
    </row>
    <row r="923" spans="5:27">
      <c r="E923"/>
      <c r="AA923" s="4"/>
    </row>
    <row r="924" spans="5:27">
      <c r="E924"/>
      <c r="AA924" s="4"/>
    </row>
    <row r="925" spans="5:27">
      <c r="E925"/>
      <c r="AA925" s="4"/>
    </row>
    <row r="926" spans="5:27">
      <c r="E926"/>
      <c r="AA926" s="4"/>
    </row>
    <row r="927" spans="5:27">
      <c r="E927"/>
      <c r="AA927" s="4"/>
    </row>
    <row r="928" spans="5:27">
      <c r="E928"/>
      <c r="AA928" s="4"/>
    </row>
    <row r="929" spans="5:27">
      <c r="E929"/>
      <c r="AA929" s="4"/>
    </row>
    <row r="930" spans="5:27">
      <c r="E930"/>
      <c r="AA930" s="4"/>
    </row>
    <row r="931" spans="5:27">
      <c r="E931"/>
      <c r="AA931" s="4"/>
    </row>
    <row r="932" spans="5:27">
      <c r="E932"/>
      <c r="AA932" s="4"/>
    </row>
    <row r="933" spans="5:27">
      <c r="E933"/>
      <c r="AA933" s="4"/>
    </row>
    <row r="934" spans="5:27">
      <c r="E934"/>
      <c r="AA934" s="4"/>
    </row>
    <row r="935" spans="5:27">
      <c r="E935"/>
      <c r="AA935" s="4"/>
    </row>
    <row r="936" spans="5:27">
      <c r="E936"/>
      <c r="AA936" s="4"/>
    </row>
    <row r="937" spans="5:27">
      <c r="E937"/>
      <c r="AA937" s="4"/>
    </row>
    <row r="938" spans="5:27">
      <c r="E938"/>
      <c r="AA938" s="4"/>
    </row>
    <row r="939" spans="5:27">
      <c r="E939"/>
      <c r="AA939" s="4"/>
    </row>
    <row r="940" spans="5:27">
      <c r="E940"/>
      <c r="AA940" s="4"/>
    </row>
    <row r="941" spans="5:27">
      <c r="E941"/>
      <c r="AA941" s="4"/>
    </row>
    <row r="942" spans="5:27">
      <c r="E942"/>
      <c r="AA942" s="4"/>
    </row>
    <row r="943" spans="5:27">
      <c r="E943"/>
      <c r="AA943" s="4"/>
    </row>
    <row r="944" spans="5:27">
      <c r="E944"/>
      <c r="AA944" s="4"/>
    </row>
    <row r="945" spans="5:27">
      <c r="E945"/>
      <c r="AA945" s="4"/>
    </row>
    <row r="946" spans="5:27">
      <c r="E946"/>
      <c r="AA946" s="4"/>
    </row>
    <row r="947" spans="5:27">
      <c r="E947"/>
      <c r="AA947" s="4"/>
    </row>
    <row r="948" spans="5:27">
      <c r="E948"/>
      <c r="AA948" s="4"/>
    </row>
    <row r="949" spans="5:27">
      <c r="E949"/>
      <c r="AA949" s="4"/>
    </row>
    <row r="950" spans="5:27">
      <c r="E950"/>
      <c r="AA950" s="4"/>
    </row>
    <row r="951" spans="5:27">
      <c r="E951"/>
      <c r="AA951" s="4"/>
    </row>
    <row r="952" spans="5:27">
      <c r="E952"/>
      <c r="AA952" s="4"/>
    </row>
    <row r="953" spans="5:27">
      <c r="E953"/>
      <c r="AA953" s="4"/>
    </row>
    <row r="954" spans="5:27">
      <c r="E954"/>
      <c r="AA954" s="4"/>
    </row>
    <row r="955" spans="5:27">
      <c r="E955"/>
      <c r="AA955" s="4"/>
    </row>
    <row r="956" spans="5:27">
      <c r="E956"/>
      <c r="AA956" s="4"/>
    </row>
    <row r="957" spans="5:27">
      <c r="E957"/>
      <c r="AA957" s="4"/>
    </row>
    <row r="958" spans="5:27">
      <c r="E958"/>
      <c r="AA958" s="4"/>
    </row>
    <row r="959" spans="5:27">
      <c r="E959"/>
      <c r="AA959" s="4"/>
    </row>
    <row r="960" spans="5:27">
      <c r="E960"/>
      <c r="AA960" s="4"/>
    </row>
    <row r="961" spans="5:27">
      <c r="E961"/>
      <c r="AA961" s="4"/>
    </row>
    <row r="962" spans="5:27">
      <c r="E962"/>
      <c r="AA962" s="4"/>
    </row>
    <row r="963" spans="5:27">
      <c r="E963"/>
      <c r="AA963" s="4"/>
    </row>
    <row r="964" spans="5:27">
      <c r="E964"/>
      <c r="AA964" s="4"/>
    </row>
    <row r="965" spans="5:27">
      <c r="E965"/>
      <c r="AA965" s="4"/>
    </row>
    <row r="966" spans="5:27">
      <c r="E966"/>
      <c r="AA966" s="4"/>
    </row>
    <row r="967" spans="5:27">
      <c r="E967"/>
      <c r="AA967" s="4"/>
    </row>
    <row r="968" spans="5:27">
      <c r="E968"/>
      <c r="AA968" s="4"/>
    </row>
    <row r="969" spans="5:27">
      <c r="E969"/>
      <c r="AA969" s="4"/>
    </row>
    <row r="970" spans="5:27">
      <c r="E970"/>
      <c r="AA970" s="4"/>
    </row>
    <row r="971" spans="5:27">
      <c r="E971"/>
      <c r="AA971" s="4"/>
    </row>
    <row r="972" spans="5:27">
      <c r="E972"/>
      <c r="AA972" s="4"/>
    </row>
    <row r="973" spans="5:27">
      <c r="E973"/>
      <c r="AA973" s="4"/>
    </row>
    <row r="974" spans="5:27">
      <c r="E974"/>
      <c r="AA974" s="4"/>
    </row>
    <row r="975" spans="5:27">
      <c r="E975"/>
      <c r="AA975" s="4"/>
    </row>
    <row r="976" spans="5:27">
      <c r="E976"/>
      <c r="AA976" s="4"/>
    </row>
    <row r="977" spans="5:27">
      <c r="E977"/>
      <c r="AA977" s="4"/>
    </row>
    <row r="978" spans="5:27">
      <c r="E978"/>
      <c r="AA978" s="4"/>
    </row>
    <row r="979" spans="5:27">
      <c r="E979"/>
      <c r="AA979" s="4"/>
    </row>
    <row r="980" spans="5:27">
      <c r="E980"/>
      <c r="AA980" s="4"/>
    </row>
    <row r="981" spans="5:27">
      <c r="E981"/>
      <c r="AA981" s="4"/>
    </row>
    <row r="982" spans="5:27">
      <c r="E982"/>
      <c r="AA982" s="4"/>
    </row>
    <row r="983" spans="5:27">
      <c r="E983"/>
      <c r="AA983" s="4"/>
    </row>
    <row r="984" spans="5:27">
      <c r="E984"/>
      <c r="AA984" s="4"/>
    </row>
    <row r="985" spans="5:27">
      <c r="E985"/>
      <c r="AA985" s="4"/>
    </row>
    <row r="986" spans="5:27">
      <c r="E986"/>
      <c r="AA986" s="4"/>
    </row>
    <row r="987" spans="5:27">
      <c r="E987"/>
      <c r="AA987" s="4"/>
    </row>
    <row r="988" spans="5:27">
      <c r="E988"/>
      <c r="AA988" s="4"/>
    </row>
    <row r="989" spans="5:27">
      <c r="E989"/>
      <c r="AA989" s="4"/>
    </row>
    <row r="990" spans="5:27">
      <c r="E990"/>
      <c r="AA990" s="4"/>
    </row>
    <row r="991" spans="5:27">
      <c r="E991"/>
      <c r="AA991" s="4"/>
    </row>
    <row r="992" spans="5:27">
      <c r="E992"/>
      <c r="AA992" s="4"/>
    </row>
    <row r="993" spans="5:27">
      <c r="E993"/>
      <c r="AA993" s="4"/>
    </row>
    <row r="994" spans="5:27">
      <c r="E994"/>
      <c r="AA994" s="4"/>
    </row>
    <row r="995" spans="5:27">
      <c r="E995"/>
      <c r="AA995" s="4"/>
    </row>
    <row r="996" spans="5:27">
      <c r="E996"/>
      <c r="AA996" s="4"/>
    </row>
    <row r="997" spans="5:27">
      <c r="E997"/>
      <c r="AA997" s="4"/>
    </row>
    <row r="998" spans="5:27">
      <c r="E998"/>
      <c r="AA998" s="4"/>
    </row>
    <row r="999" spans="5:27">
      <c r="E999"/>
      <c r="AA999" s="4"/>
    </row>
    <row r="1000" spans="5:27">
      <c r="E1000"/>
      <c r="AA1000" s="4"/>
    </row>
    <row r="1001" spans="5:27">
      <c r="E1001"/>
      <c r="AA1001" s="4"/>
    </row>
    <row r="1002" spans="5:27">
      <c r="E1002"/>
      <c r="AA1002" s="4"/>
    </row>
    <row r="1003" spans="5:27">
      <c r="E1003"/>
      <c r="AA1003" s="4"/>
    </row>
    <row r="1004" spans="5:27">
      <c r="E1004"/>
      <c r="AA1004" s="4"/>
    </row>
    <row r="1005" spans="5:27">
      <c r="E1005"/>
      <c r="AA1005" s="4"/>
    </row>
    <row r="1006" spans="5:27">
      <c r="E1006"/>
      <c r="AA1006" s="4"/>
    </row>
    <row r="1007" spans="5:27">
      <c r="E1007"/>
      <c r="AA1007" s="4"/>
    </row>
    <row r="1008" spans="5:27">
      <c r="E1008"/>
      <c r="AA1008" s="4"/>
    </row>
    <row r="1009" spans="5:27">
      <c r="E1009"/>
      <c r="AA1009" s="4"/>
    </row>
    <row r="1010" spans="5:27">
      <c r="E1010"/>
      <c r="AA1010" s="4"/>
    </row>
    <row r="1011" spans="5:27">
      <c r="E1011"/>
      <c r="AA1011" s="4"/>
    </row>
    <row r="1012" spans="5:27">
      <c r="E1012"/>
      <c r="AA1012" s="4"/>
    </row>
    <row r="1013" spans="5:27">
      <c r="E1013"/>
      <c r="AA1013" s="4"/>
    </row>
    <row r="1014" spans="5:27">
      <c r="E1014"/>
      <c r="AA1014" s="4"/>
    </row>
    <row r="1015" spans="5:27">
      <c r="E1015"/>
      <c r="AA1015" s="4"/>
    </row>
    <row r="1016" spans="5:27">
      <c r="E1016"/>
      <c r="AA1016" s="4"/>
    </row>
    <row r="1017" spans="5:27">
      <c r="E1017"/>
      <c r="AA1017" s="4"/>
    </row>
    <row r="1018" spans="5:27">
      <c r="E1018"/>
      <c r="AA1018" s="4"/>
    </row>
    <row r="1019" spans="5:27">
      <c r="E1019"/>
      <c r="AA1019" s="4"/>
    </row>
    <row r="1020" spans="5:27">
      <c r="E1020"/>
      <c r="AA1020" s="4"/>
    </row>
    <row r="1021" spans="5:27">
      <c r="E1021"/>
      <c r="AA1021" s="4"/>
    </row>
    <row r="1022" spans="5:27">
      <c r="E1022"/>
      <c r="AA1022" s="4"/>
    </row>
    <row r="1023" spans="5:27">
      <c r="E1023"/>
      <c r="AA1023" s="4"/>
    </row>
    <row r="1024" spans="5:27">
      <c r="E1024"/>
      <c r="AA1024" s="4"/>
    </row>
    <row r="1025" spans="5:27">
      <c r="E1025"/>
      <c r="AA1025" s="4"/>
    </row>
    <row r="1026" spans="5:27">
      <c r="E1026"/>
      <c r="AA1026" s="4"/>
    </row>
    <row r="1027" spans="5:27">
      <c r="E1027"/>
      <c r="AA1027" s="4"/>
    </row>
    <row r="1028" spans="5:27">
      <c r="E1028"/>
      <c r="AA1028" s="4"/>
    </row>
    <row r="1029" spans="5:27">
      <c r="E1029"/>
      <c r="AA1029" s="4"/>
    </row>
    <row r="1030" spans="5:27">
      <c r="E1030"/>
      <c r="AA1030" s="4"/>
    </row>
    <row r="1031" spans="5:27">
      <c r="E1031"/>
      <c r="AA1031" s="4"/>
    </row>
    <row r="1032" spans="5:27">
      <c r="E1032"/>
      <c r="AA1032" s="4"/>
    </row>
    <row r="1033" spans="5:27">
      <c r="E1033"/>
      <c r="AA1033" s="4"/>
    </row>
    <row r="1034" spans="5:27">
      <c r="E1034"/>
      <c r="AA1034" s="4"/>
    </row>
    <row r="1035" spans="5:27">
      <c r="E1035"/>
      <c r="AA1035" s="4"/>
    </row>
    <row r="1036" spans="5:27">
      <c r="E1036"/>
      <c r="AA1036" s="4"/>
    </row>
    <row r="1037" spans="5:27">
      <c r="E1037"/>
      <c r="AA1037" s="4"/>
    </row>
    <row r="1038" spans="5:27">
      <c r="E1038"/>
      <c r="AA1038" s="4"/>
    </row>
    <row r="1039" spans="5:27">
      <c r="E1039"/>
      <c r="AA1039" s="4"/>
    </row>
    <row r="1040" spans="5:27">
      <c r="E1040"/>
      <c r="AA1040" s="4"/>
    </row>
    <row r="1041" spans="5:27">
      <c r="E1041"/>
      <c r="AA1041" s="4"/>
    </row>
    <row r="1042" spans="5:27">
      <c r="E1042"/>
      <c r="AA1042" s="4"/>
    </row>
    <row r="1043" spans="5:27">
      <c r="E1043"/>
      <c r="AA1043" s="4"/>
    </row>
    <row r="1044" spans="5:27">
      <c r="E1044"/>
      <c r="AA1044" s="4"/>
    </row>
    <row r="1045" spans="5:27">
      <c r="E1045"/>
      <c r="AA1045" s="4"/>
    </row>
    <row r="1046" spans="5:27">
      <c r="E1046"/>
      <c r="AA1046" s="4"/>
    </row>
    <row r="1047" spans="5:27">
      <c r="E1047"/>
      <c r="AA1047" s="4"/>
    </row>
    <row r="1048" spans="5:27">
      <c r="E1048"/>
      <c r="AA1048" s="4"/>
    </row>
    <row r="1049" spans="5:27">
      <c r="E1049"/>
      <c r="AA1049" s="4"/>
    </row>
    <row r="1050" spans="5:27">
      <c r="E1050"/>
      <c r="AA1050" s="4"/>
    </row>
    <row r="1051" spans="5:27">
      <c r="E1051"/>
      <c r="AA1051" s="4"/>
    </row>
    <row r="1052" spans="5:27">
      <c r="E1052"/>
      <c r="AA1052" s="4"/>
    </row>
    <row r="1053" spans="5:27">
      <c r="E1053"/>
      <c r="AA1053" s="4"/>
    </row>
    <row r="1054" spans="5:27">
      <c r="E1054"/>
      <c r="AA1054" s="4"/>
    </row>
    <row r="1055" spans="5:27">
      <c r="E1055"/>
      <c r="AA1055" s="4"/>
    </row>
    <row r="1056" spans="5:27">
      <c r="E1056"/>
      <c r="AA1056" s="4"/>
    </row>
    <row r="1057" spans="5:27">
      <c r="E1057"/>
      <c r="AA1057" s="4"/>
    </row>
    <row r="1058" spans="5:27">
      <c r="E1058"/>
      <c r="AA1058" s="4"/>
    </row>
    <row r="1059" spans="5:27">
      <c r="E1059"/>
      <c r="AA1059" s="4"/>
    </row>
    <row r="1060" spans="5:27">
      <c r="E1060"/>
      <c r="AA1060" s="4"/>
    </row>
    <row r="1061" spans="5:27">
      <c r="E1061"/>
      <c r="AA1061" s="4"/>
    </row>
    <row r="1062" spans="5:27">
      <c r="E1062"/>
      <c r="AA1062" s="4"/>
    </row>
    <row r="1063" spans="5:27">
      <c r="E1063"/>
      <c r="AA1063" s="4"/>
    </row>
    <row r="1064" spans="5:27">
      <c r="E1064"/>
      <c r="AA1064" s="4"/>
    </row>
    <row r="1065" spans="5:27">
      <c r="E1065"/>
      <c r="AA1065" s="4"/>
    </row>
    <row r="1066" spans="5:27">
      <c r="E1066"/>
      <c r="AA1066" s="4"/>
    </row>
    <row r="1067" spans="5:27">
      <c r="E1067"/>
      <c r="AA1067" s="4"/>
    </row>
    <row r="1068" spans="5:27">
      <c r="E1068"/>
      <c r="AA1068" s="4"/>
    </row>
    <row r="1069" spans="5:27">
      <c r="E1069"/>
      <c r="AA1069" s="4"/>
    </row>
    <row r="1070" spans="5:27">
      <c r="E1070"/>
      <c r="AA1070" s="4"/>
    </row>
    <row r="1071" spans="5:27">
      <c r="E1071"/>
      <c r="AA1071" s="4"/>
    </row>
    <row r="1072" spans="5:27">
      <c r="E1072"/>
      <c r="AA1072" s="4"/>
    </row>
    <row r="1073" spans="5:27">
      <c r="E1073"/>
      <c r="AA1073" s="4"/>
    </row>
    <row r="1074" spans="5:27">
      <c r="E1074"/>
      <c r="AA1074" s="4"/>
    </row>
    <row r="1075" spans="5:27">
      <c r="E1075"/>
      <c r="AA1075" s="4"/>
    </row>
    <row r="1076" spans="5:27">
      <c r="E1076"/>
      <c r="AA1076" s="4"/>
    </row>
    <row r="1077" spans="5:27">
      <c r="E1077"/>
      <c r="AA1077" s="4"/>
    </row>
    <row r="1078" spans="5:27">
      <c r="E1078"/>
      <c r="AA1078" s="4"/>
    </row>
    <row r="1079" spans="5:27">
      <c r="E1079"/>
      <c r="AA1079" s="4"/>
    </row>
    <row r="1080" spans="5:27">
      <c r="E1080"/>
      <c r="AA1080" s="4"/>
    </row>
    <row r="1081" spans="5:27">
      <c r="E1081"/>
      <c r="AA1081" s="4"/>
    </row>
    <row r="1082" spans="5:27">
      <c r="E1082"/>
      <c r="AA1082" s="4"/>
    </row>
    <row r="1083" spans="5:27">
      <c r="E1083"/>
      <c r="AA1083" s="4"/>
    </row>
    <row r="1084" spans="5:27">
      <c r="E1084"/>
      <c r="AA1084" s="4"/>
    </row>
    <row r="1085" spans="5:27">
      <c r="E1085"/>
      <c r="AA1085" s="4"/>
    </row>
    <row r="1086" spans="5:27">
      <c r="E1086"/>
      <c r="AA1086" s="4"/>
    </row>
    <row r="1087" spans="5:27">
      <c r="E1087"/>
      <c r="AA1087" s="4"/>
    </row>
    <row r="1088" spans="5:27">
      <c r="E1088"/>
      <c r="AA1088" s="4"/>
    </row>
    <row r="1089" spans="5:27">
      <c r="E1089"/>
      <c r="AA1089" s="4"/>
    </row>
    <row r="1090" spans="5:27">
      <c r="E1090"/>
      <c r="AA1090" s="4"/>
    </row>
    <row r="1091" spans="5:27">
      <c r="E1091"/>
      <c r="AA1091" s="4"/>
    </row>
    <row r="1092" spans="5:27">
      <c r="E1092"/>
      <c r="AA1092" s="4"/>
    </row>
    <row r="1093" spans="5:27">
      <c r="E1093"/>
      <c r="AA1093" s="4"/>
    </row>
    <row r="1094" spans="5:27">
      <c r="E1094"/>
      <c r="AA1094" s="4"/>
    </row>
    <row r="1095" spans="5:27">
      <c r="E1095"/>
      <c r="AA1095" s="4"/>
    </row>
    <row r="1096" spans="5:27">
      <c r="E1096"/>
      <c r="AA1096" s="4"/>
    </row>
    <row r="1097" spans="5:27">
      <c r="E1097"/>
      <c r="AA1097" s="4"/>
    </row>
    <row r="1098" spans="5:27">
      <c r="E1098"/>
      <c r="AA1098" s="4"/>
    </row>
    <row r="1099" spans="5:27">
      <c r="E1099"/>
      <c r="AA1099" s="4"/>
    </row>
    <row r="1100" spans="5:27">
      <c r="E1100"/>
      <c r="AA1100" s="4"/>
    </row>
    <row r="1101" spans="5:27">
      <c r="E1101"/>
      <c r="AA1101" s="4"/>
    </row>
    <row r="1102" spans="5:27">
      <c r="E1102"/>
      <c r="AA1102" s="4"/>
    </row>
    <row r="1103" spans="5:27">
      <c r="E1103"/>
      <c r="AA1103" s="4"/>
    </row>
    <row r="1104" spans="5:27">
      <c r="E1104"/>
      <c r="AA1104" s="4"/>
    </row>
    <row r="1105" spans="5:27">
      <c r="E1105"/>
      <c r="AA1105" s="4"/>
    </row>
    <row r="1106" spans="5:27">
      <c r="E1106"/>
      <c r="AA1106" s="4"/>
    </row>
    <row r="1107" spans="5:27">
      <c r="E1107"/>
      <c r="AA1107" s="4"/>
    </row>
    <row r="1108" spans="5:27">
      <c r="E1108"/>
      <c r="AA1108" s="4"/>
    </row>
    <row r="1109" spans="5:27">
      <c r="E1109"/>
      <c r="AA1109" s="4"/>
    </row>
    <row r="1110" spans="5:27">
      <c r="E1110"/>
      <c r="AA1110" s="4"/>
    </row>
    <row r="1111" spans="5:27">
      <c r="E1111"/>
      <c r="AA1111" s="4"/>
    </row>
    <row r="1112" spans="5:27">
      <c r="E1112"/>
      <c r="AA1112" s="4"/>
    </row>
    <row r="1113" spans="5:27">
      <c r="E1113"/>
      <c r="AA1113" s="4"/>
    </row>
    <row r="1114" spans="5:27">
      <c r="E1114"/>
      <c r="AA1114" s="4"/>
    </row>
    <row r="1115" spans="5:27">
      <c r="E1115"/>
      <c r="AA1115" s="4"/>
    </row>
    <row r="1116" spans="5:27">
      <c r="E1116"/>
      <c r="AA1116" s="4"/>
    </row>
    <row r="1117" spans="5:27">
      <c r="E1117"/>
      <c r="AA1117" s="4"/>
    </row>
    <row r="1118" spans="5:27">
      <c r="E1118"/>
      <c r="AA1118" s="4"/>
    </row>
    <row r="1119" spans="5:27">
      <c r="E1119"/>
      <c r="AA1119" s="4"/>
    </row>
    <row r="1120" spans="5:27">
      <c r="E1120"/>
      <c r="AA1120" s="4"/>
    </row>
    <row r="1121" spans="5:27">
      <c r="E1121"/>
      <c r="AA1121" s="4"/>
    </row>
    <row r="1122" spans="5:27">
      <c r="E1122"/>
      <c r="AA1122" s="4"/>
    </row>
    <row r="1123" spans="5:27">
      <c r="E1123"/>
      <c r="AA1123" s="4"/>
    </row>
    <row r="1124" spans="5:27">
      <c r="E1124"/>
      <c r="AA1124" s="4"/>
    </row>
    <row r="1125" spans="5:27">
      <c r="E1125"/>
      <c r="AA1125" s="4"/>
    </row>
    <row r="1126" spans="5:27">
      <c r="E1126"/>
      <c r="AA1126" s="4"/>
    </row>
    <row r="1127" spans="5:27">
      <c r="E1127"/>
      <c r="AA1127" s="4"/>
    </row>
    <row r="1128" spans="5:27">
      <c r="E1128"/>
      <c r="AA1128" s="4"/>
    </row>
    <row r="1129" spans="5:27">
      <c r="E1129"/>
      <c r="AA1129" s="4"/>
    </row>
    <row r="1130" spans="5:27">
      <c r="E1130"/>
      <c r="AA1130" s="4"/>
    </row>
    <row r="1131" spans="5:27">
      <c r="E1131"/>
      <c r="AA1131" s="4"/>
    </row>
    <row r="1132" spans="5:27">
      <c r="E1132"/>
      <c r="AA1132" s="4"/>
    </row>
    <row r="1133" spans="5:27">
      <c r="E1133"/>
      <c r="AA1133" s="4"/>
    </row>
    <row r="1134" spans="5:27">
      <c r="E1134"/>
      <c r="AA1134" s="4"/>
    </row>
    <row r="1135" spans="5:27">
      <c r="E1135"/>
      <c r="AA1135" s="4"/>
    </row>
    <row r="1136" spans="5:27">
      <c r="E1136"/>
      <c r="AA1136" s="4"/>
    </row>
    <row r="1137" spans="5:27">
      <c r="E1137"/>
      <c r="AA1137" s="4"/>
    </row>
    <row r="1138" spans="5:27">
      <c r="E1138"/>
      <c r="AA1138" s="4"/>
    </row>
    <row r="1139" spans="5:27">
      <c r="E1139"/>
      <c r="AA1139" s="4"/>
    </row>
    <row r="1140" spans="5:27">
      <c r="E1140"/>
      <c r="AA1140" s="4"/>
    </row>
    <row r="1141" spans="5:27">
      <c r="E1141"/>
      <c r="AA1141" s="4"/>
    </row>
    <row r="1142" spans="5:27">
      <c r="E1142"/>
      <c r="AA1142" s="4"/>
    </row>
    <row r="1143" spans="5:27">
      <c r="E1143"/>
      <c r="AA1143" s="4"/>
    </row>
    <row r="1144" spans="5:27">
      <c r="E1144"/>
      <c r="AA1144" s="4"/>
    </row>
    <row r="1145" spans="5:27">
      <c r="E1145"/>
      <c r="AA1145" s="4"/>
    </row>
    <row r="1146" spans="5:27">
      <c r="E1146"/>
      <c r="AA1146" s="4"/>
    </row>
    <row r="1147" spans="5:27">
      <c r="E1147"/>
      <c r="AA1147" s="4"/>
    </row>
    <row r="1148" spans="5:27">
      <c r="E1148"/>
      <c r="AA1148" s="4"/>
    </row>
    <row r="1149" spans="5:27">
      <c r="E1149"/>
      <c r="AA1149" s="4"/>
    </row>
    <row r="1150" spans="5:27">
      <c r="E1150"/>
      <c r="AA1150" s="4"/>
    </row>
    <row r="1151" spans="5:27">
      <c r="E1151"/>
      <c r="AA1151" s="4"/>
    </row>
    <row r="1152" spans="5:27">
      <c r="E1152"/>
      <c r="AA1152" s="4"/>
    </row>
    <row r="1153" spans="5:27">
      <c r="E1153"/>
      <c r="AA1153" s="4"/>
    </row>
    <row r="1154" spans="5:27">
      <c r="E1154"/>
      <c r="AA1154" s="4"/>
    </row>
    <row r="1155" spans="5:27">
      <c r="E1155"/>
      <c r="AA1155" s="4"/>
    </row>
    <row r="1156" spans="5:27">
      <c r="E1156"/>
      <c r="AA1156" s="4"/>
    </row>
    <row r="1157" spans="5:27">
      <c r="E1157"/>
      <c r="AA1157" s="4"/>
    </row>
    <row r="1158" spans="5:27">
      <c r="E1158"/>
      <c r="AA1158" s="4"/>
    </row>
    <row r="1159" spans="5:27">
      <c r="E1159"/>
      <c r="AA1159" s="4"/>
    </row>
    <row r="1160" spans="5:27">
      <c r="E1160"/>
      <c r="AA1160" s="4"/>
    </row>
    <row r="1161" spans="5:27">
      <c r="E1161"/>
      <c r="AA1161" s="4"/>
    </row>
    <row r="1162" spans="5:27">
      <c r="E1162"/>
      <c r="AA1162" s="4"/>
    </row>
    <row r="1163" spans="5:27">
      <c r="E1163"/>
      <c r="AA1163" s="4"/>
    </row>
    <row r="1164" spans="5:27">
      <c r="E1164"/>
      <c r="AA1164" s="4"/>
    </row>
    <row r="1165" spans="5:27">
      <c r="E1165"/>
      <c r="AA1165" s="4"/>
    </row>
    <row r="1166" spans="5:27">
      <c r="E1166"/>
      <c r="AA1166" s="4"/>
    </row>
    <row r="1167" spans="5:27">
      <c r="E1167"/>
      <c r="AA1167" s="4"/>
    </row>
    <row r="1168" spans="5:27">
      <c r="E1168"/>
      <c r="AA1168" s="4"/>
    </row>
    <row r="1169" spans="5:27">
      <c r="E1169"/>
      <c r="AA1169" s="4"/>
    </row>
    <row r="1170" spans="5:27">
      <c r="E1170"/>
      <c r="AA1170" s="4"/>
    </row>
    <row r="1171" spans="5:27">
      <c r="E1171"/>
      <c r="AA1171" s="4"/>
    </row>
    <row r="1172" spans="5:27">
      <c r="E1172"/>
      <c r="AA1172" s="4"/>
    </row>
    <row r="1173" spans="5:27">
      <c r="E1173"/>
      <c r="AA1173" s="4"/>
    </row>
    <row r="1174" spans="5:27">
      <c r="E1174"/>
      <c r="AA1174" s="4"/>
    </row>
    <row r="1175" spans="5:27">
      <c r="E1175"/>
      <c r="AA1175" s="4"/>
    </row>
    <row r="1176" spans="5:27">
      <c r="E1176"/>
      <c r="AA1176" s="4"/>
    </row>
    <row r="1177" spans="5:27">
      <c r="E1177"/>
      <c r="AA1177" s="4"/>
    </row>
    <row r="1178" spans="5:27">
      <c r="E1178"/>
      <c r="AA1178" s="4"/>
    </row>
    <row r="1179" spans="5:27">
      <c r="E1179"/>
      <c r="AA1179" s="4"/>
    </row>
    <row r="1180" spans="5:27">
      <c r="E1180"/>
      <c r="AA1180" s="4"/>
    </row>
    <row r="1181" spans="5:27">
      <c r="E1181"/>
      <c r="AA1181" s="4"/>
    </row>
    <row r="1182" spans="5:27">
      <c r="E1182"/>
      <c r="AA1182" s="4"/>
    </row>
    <row r="1183" spans="5:27">
      <c r="E1183"/>
      <c r="AA1183" s="4"/>
    </row>
    <row r="1184" spans="5:27">
      <c r="E1184"/>
      <c r="AA1184" s="4"/>
    </row>
    <row r="1185" spans="5:27">
      <c r="E1185"/>
      <c r="AA1185" s="4"/>
    </row>
    <row r="1186" spans="5:27">
      <c r="E1186"/>
      <c r="AA1186" s="4"/>
    </row>
    <row r="1187" spans="5:27">
      <c r="E1187"/>
      <c r="AA1187" s="4"/>
    </row>
    <row r="1188" spans="5:27">
      <c r="E1188"/>
      <c r="AA1188" s="4"/>
    </row>
    <row r="1189" spans="5:27">
      <c r="E1189"/>
      <c r="AA1189" s="4"/>
    </row>
    <row r="1190" spans="5:27">
      <c r="E1190"/>
      <c r="AA1190" s="4"/>
    </row>
    <row r="1191" spans="5:27">
      <c r="E1191"/>
      <c r="AA1191" s="4"/>
    </row>
    <row r="1192" spans="5:27">
      <c r="E1192"/>
      <c r="AA1192" s="4"/>
    </row>
    <row r="1193" spans="5:27">
      <c r="E1193"/>
      <c r="AA1193" s="4"/>
    </row>
    <row r="1194" spans="5:27">
      <c r="E1194"/>
      <c r="AA1194" s="4"/>
    </row>
    <row r="1195" spans="5:27">
      <c r="E1195"/>
      <c r="AA1195" s="4"/>
    </row>
    <row r="1196" spans="5:27">
      <c r="E1196"/>
      <c r="AA1196" s="4"/>
    </row>
    <row r="1197" spans="5:27">
      <c r="E1197"/>
      <c r="AA1197" s="4"/>
    </row>
    <row r="1198" spans="5:27">
      <c r="E1198"/>
      <c r="AA1198" s="4"/>
    </row>
    <row r="1199" spans="5:27">
      <c r="E1199"/>
      <c r="AA1199" s="4"/>
    </row>
    <row r="1200" spans="5:27">
      <c r="E1200"/>
      <c r="AA1200" s="4"/>
    </row>
    <row r="1201" spans="5:27">
      <c r="E1201"/>
      <c r="AA1201" s="4"/>
    </row>
    <row r="1202" spans="5:27">
      <c r="E1202"/>
      <c r="AA1202" s="4"/>
    </row>
    <row r="1203" spans="5:27">
      <c r="E1203"/>
      <c r="AA1203" s="4"/>
    </row>
    <row r="1204" spans="5:27">
      <c r="E1204"/>
      <c r="AA1204" s="4"/>
    </row>
    <row r="1205" spans="5:27">
      <c r="E1205"/>
      <c r="AA1205" s="4"/>
    </row>
    <row r="1206" spans="5:27">
      <c r="E1206"/>
      <c r="AA1206" s="4"/>
    </row>
    <row r="1207" spans="5:27">
      <c r="E1207"/>
      <c r="AA1207" s="4"/>
    </row>
    <row r="1208" spans="5:27">
      <c r="E1208"/>
      <c r="AA1208" s="4"/>
    </row>
    <row r="1209" spans="5:27">
      <c r="E1209"/>
      <c r="AA1209" s="4"/>
    </row>
    <row r="1210" spans="5:27">
      <c r="E1210"/>
      <c r="AA1210" s="4"/>
    </row>
    <row r="1211" spans="5:27">
      <c r="E1211"/>
      <c r="AA1211" s="4"/>
    </row>
    <row r="1212" spans="5:27">
      <c r="E1212"/>
      <c r="AA1212" s="4"/>
    </row>
    <row r="1213" spans="5:27">
      <c r="E1213"/>
      <c r="AA1213" s="4"/>
    </row>
    <row r="1214" spans="5:27">
      <c r="E1214"/>
      <c r="AA1214" s="4"/>
    </row>
    <row r="1215" spans="5:27">
      <c r="E1215"/>
      <c r="AA1215" s="4"/>
    </row>
    <row r="1216" spans="5:27">
      <c r="E1216"/>
      <c r="AA1216" s="4"/>
    </row>
    <row r="1217" spans="5:27">
      <c r="E1217"/>
      <c r="AA1217" s="4"/>
    </row>
    <row r="1218" spans="5:27">
      <c r="E1218"/>
      <c r="AA1218" s="4"/>
    </row>
    <row r="1219" spans="5:27">
      <c r="E1219"/>
      <c r="AA1219" s="4"/>
    </row>
    <row r="1220" spans="5:27">
      <c r="E1220"/>
      <c r="AA1220" s="4"/>
    </row>
    <row r="1221" spans="5:27">
      <c r="E1221"/>
      <c r="AA1221" s="4"/>
    </row>
    <row r="1222" spans="5:27">
      <c r="E1222"/>
      <c r="AA1222" s="4"/>
    </row>
    <row r="1223" spans="5:27">
      <c r="E1223"/>
      <c r="AA1223" s="4"/>
    </row>
    <row r="1224" spans="5:27">
      <c r="E1224"/>
      <c r="AA1224" s="4"/>
    </row>
    <row r="1225" spans="5:27">
      <c r="E1225"/>
      <c r="AA1225" s="4"/>
    </row>
    <row r="1226" spans="5:27">
      <c r="E1226"/>
      <c r="AA1226" s="4"/>
    </row>
    <row r="1227" spans="5:27">
      <c r="E1227"/>
      <c r="AA1227" s="4"/>
    </row>
    <row r="1228" spans="5:27">
      <c r="E1228"/>
      <c r="AA1228" s="4"/>
    </row>
    <row r="1229" spans="5:27">
      <c r="E1229"/>
      <c r="AA1229" s="4"/>
    </row>
    <row r="1230" spans="5:27">
      <c r="E1230"/>
      <c r="AA1230" s="4"/>
    </row>
    <row r="1231" spans="5:27">
      <c r="E1231"/>
      <c r="AA1231" s="4"/>
    </row>
    <row r="1232" spans="5:27">
      <c r="E1232"/>
      <c r="AA1232" s="4"/>
    </row>
    <row r="1233" spans="5:27">
      <c r="E1233"/>
      <c r="AA1233" s="4"/>
    </row>
    <row r="1234" spans="5:27">
      <c r="E1234"/>
      <c r="AA1234" s="4"/>
    </row>
    <row r="1235" spans="5:27">
      <c r="E1235"/>
      <c r="AA1235" s="4"/>
    </row>
    <row r="1236" spans="5:27">
      <c r="E1236"/>
      <c r="AA1236" s="4"/>
    </row>
    <row r="1237" spans="5:27">
      <c r="E1237"/>
      <c r="AA1237" s="4"/>
    </row>
    <row r="1238" spans="5:27">
      <c r="E1238"/>
      <c r="AA1238" s="4"/>
    </row>
    <row r="1239" spans="5:27">
      <c r="E1239"/>
      <c r="AA1239" s="4"/>
    </row>
    <row r="1240" spans="5:27">
      <c r="E1240"/>
      <c r="AA1240" s="4"/>
    </row>
    <row r="1241" spans="5:27">
      <c r="E1241"/>
      <c r="AA1241" s="4"/>
    </row>
    <row r="1242" spans="5:27">
      <c r="E1242"/>
      <c r="AA1242" s="4"/>
    </row>
    <row r="1243" spans="5:27">
      <c r="E1243"/>
      <c r="AA1243" s="4"/>
    </row>
    <row r="1244" spans="5:27">
      <c r="E1244"/>
      <c r="AA1244" s="4"/>
    </row>
    <row r="1245" spans="5:27">
      <c r="E1245"/>
      <c r="AA1245" s="4"/>
    </row>
    <row r="1246" spans="5:27">
      <c r="E1246"/>
      <c r="AA1246" s="4"/>
    </row>
    <row r="1247" spans="5:27">
      <c r="E1247"/>
      <c r="AA1247" s="4"/>
    </row>
    <row r="1248" spans="5:27">
      <c r="E1248"/>
      <c r="AA1248" s="4"/>
    </row>
    <row r="1249" spans="5:27">
      <c r="E1249"/>
      <c r="AA1249" s="4"/>
    </row>
    <row r="1250" spans="5:27">
      <c r="E1250"/>
      <c r="AA1250" s="4"/>
    </row>
    <row r="1251" spans="5:27">
      <c r="E1251"/>
      <c r="AA1251" s="4"/>
    </row>
    <row r="1252" spans="5:27">
      <c r="E1252"/>
      <c r="AA1252" s="4"/>
    </row>
    <row r="1253" spans="5:27">
      <c r="E1253"/>
      <c r="AA1253" s="4"/>
    </row>
    <row r="1254" spans="5:27">
      <c r="E1254"/>
      <c r="AA1254" s="4"/>
    </row>
    <row r="1255" spans="5:27">
      <c r="E1255"/>
      <c r="AA1255" s="4"/>
    </row>
    <row r="1256" spans="5:27">
      <c r="E1256"/>
      <c r="AA1256" s="4"/>
    </row>
    <row r="1257" spans="5:27">
      <c r="E1257"/>
      <c r="AA1257" s="4"/>
    </row>
    <row r="1258" spans="5:27">
      <c r="E1258"/>
      <c r="AA1258" s="4"/>
    </row>
    <row r="1259" spans="5:27">
      <c r="E1259"/>
      <c r="AA1259" s="4"/>
    </row>
    <row r="1260" spans="5:27">
      <c r="E1260"/>
      <c r="AA1260" s="4"/>
    </row>
    <row r="1261" spans="5:27">
      <c r="E1261"/>
      <c r="AA1261" s="4"/>
    </row>
    <row r="1262" spans="5:27">
      <c r="E1262"/>
      <c r="AA1262" s="4"/>
    </row>
    <row r="1263" spans="5:27">
      <c r="E1263"/>
      <c r="AA1263" s="4"/>
    </row>
    <row r="1264" spans="5:27">
      <c r="E1264"/>
      <c r="AA1264" s="4"/>
    </row>
    <row r="1265" spans="5:27">
      <c r="E1265"/>
      <c r="AA1265" s="4"/>
    </row>
    <row r="1266" spans="5:27">
      <c r="E1266"/>
      <c r="AA1266" s="4"/>
    </row>
    <row r="1267" spans="5:27">
      <c r="E1267"/>
      <c r="AA1267" s="4"/>
    </row>
    <row r="1268" spans="5:27">
      <c r="E1268"/>
      <c r="AA1268" s="4"/>
    </row>
    <row r="1269" spans="5:27">
      <c r="E1269"/>
      <c r="AA1269" s="4"/>
    </row>
    <row r="1270" spans="5:27">
      <c r="E1270"/>
      <c r="AA1270" s="4"/>
    </row>
    <row r="1271" spans="5:27">
      <c r="E1271"/>
      <c r="AA1271" s="4"/>
    </row>
    <row r="1272" spans="5:27">
      <c r="E1272"/>
      <c r="AA1272" s="4"/>
    </row>
    <row r="1273" spans="5:27">
      <c r="E1273"/>
      <c r="AA1273" s="4"/>
    </row>
    <row r="1274" spans="5:27">
      <c r="E1274"/>
      <c r="AA1274" s="4"/>
    </row>
    <row r="1275" spans="5:27">
      <c r="E1275"/>
      <c r="AA1275" s="4"/>
    </row>
    <row r="1276" spans="5:27">
      <c r="E1276"/>
      <c r="AA1276" s="4"/>
    </row>
    <row r="1277" spans="5:27">
      <c r="E1277"/>
      <c r="AA1277" s="4"/>
    </row>
    <row r="1278" spans="5:27">
      <c r="E1278"/>
      <c r="AA1278" s="4"/>
    </row>
    <row r="1279" spans="5:27">
      <c r="E1279"/>
      <c r="AA1279" s="4"/>
    </row>
    <row r="1280" spans="5:27">
      <c r="E1280"/>
      <c r="AA1280" s="4"/>
    </row>
    <row r="1281" spans="5:27">
      <c r="E1281"/>
      <c r="AA1281" s="4"/>
    </row>
    <row r="1282" spans="5:27">
      <c r="E1282"/>
      <c r="AA1282" s="4"/>
    </row>
    <row r="1283" spans="5:27">
      <c r="E1283"/>
      <c r="AA1283" s="4"/>
    </row>
    <row r="1284" spans="5:27">
      <c r="E1284"/>
      <c r="AA1284" s="4"/>
    </row>
    <row r="1285" spans="5:27">
      <c r="E1285"/>
      <c r="AA1285" s="4"/>
    </row>
    <row r="1286" spans="5:27">
      <c r="E1286"/>
      <c r="AA1286" s="4"/>
    </row>
    <row r="1287" spans="5:27">
      <c r="E1287"/>
      <c r="AA1287" s="4"/>
    </row>
    <row r="1288" spans="5:27">
      <c r="E1288"/>
      <c r="AA1288" s="4"/>
    </row>
    <row r="1289" spans="5:27">
      <c r="E1289"/>
      <c r="AA1289" s="4"/>
    </row>
    <row r="1290" spans="5:27">
      <c r="E1290"/>
      <c r="AA1290" s="4"/>
    </row>
    <row r="1291" spans="5:27">
      <c r="E1291"/>
      <c r="AA1291" s="4"/>
    </row>
    <row r="1292" spans="5:27">
      <c r="E1292"/>
      <c r="AA1292" s="4"/>
    </row>
    <row r="1293" spans="5:27">
      <c r="E1293"/>
      <c r="AA1293" s="4"/>
    </row>
    <row r="1294" spans="5:27">
      <c r="E1294"/>
      <c r="AA1294" s="4"/>
    </row>
    <row r="1295" spans="5:27">
      <c r="E1295"/>
      <c r="AA1295" s="4"/>
    </row>
    <row r="1296" spans="5:27">
      <c r="E1296"/>
      <c r="AA1296" s="4"/>
    </row>
    <row r="1297" spans="5:27">
      <c r="E1297"/>
      <c r="AA1297" s="4"/>
    </row>
    <row r="1298" spans="5:27">
      <c r="E1298"/>
      <c r="AA1298" s="4"/>
    </row>
    <row r="1299" spans="5:27">
      <c r="E1299"/>
      <c r="AA1299" s="4"/>
    </row>
    <row r="1300" spans="5:27">
      <c r="E1300"/>
      <c r="AA1300" s="4"/>
    </row>
    <row r="1301" spans="5:27">
      <c r="E1301"/>
      <c r="AA1301" s="4"/>
    </row>
    <row r="1302" spans="5:27">
      <c r="E1302"/>
      <c r="AA1302" s="4"/>
    </row>
    <row r="1303" spans="5:27">
      <c r="E1303"/>
      <c r="AA1303" s="4"/>
    </row>
    <row r="1304" spans="5:27">
      <c r="E1304"/>
      <c r="AA1304" s="4"/>
    </row>
    <row r="1305" spans="5:27">
      <c r="E1305"/>
      <c r="AA1305" s="4"/>
    </row>
    <row r="1306" spans="5:27">
      <c r="E1306"/>
      <c r="AA1306" s="4"/>
    </row>
    <row r="1307" spans="5:27">
      <c r="E1307"/>
      <c r="AA1307" s="4"/>
    </row>
    <row r="1308" spans="5:27">
      <c r="E1308"/>
      <c r="AA1308" s="4"/>
    </row>
    <row r="1309" spans="5:27">
      <c r="E1309"/>
      <c r="AA1309" s="4"/>
    </row>
    <row r="1310" spans="5:27">
      <c r="E1310"/>
      <c r="AA1310" s="4"/>
    </row>
    <row r="1311" spans="5:27">
      <c r="E1311"/>
      <c r="AA1311" s="4"/>
    </row>
    <row r="1312" spans="5:27">
      <c r="E1312"/>
      <c r="AA1312" s="4"/>
    </row>
    <row r="1313" spans="5:27">
      <c r="E1313"/>
      <c r="AA1313" s="4"/>
    </row>
    <row r="1314" spans="5:27">
      <c r="E1314"/>
      <c r="AA1314" s="4"/>
    </row>
    <row r="1315" spans="5:27">
      <c r="E1315"/>
      <c r="AA1315" s="4"/>
    </row>
    <row r="1316" spans="5:27">
      <c r="E1316"/>
      <c r="AA1316" s="4"/>
    </row>
    <row r="1317" spans="5:27">
      <c r="E1317"/>
      <c r="AA1317" s="4"/>
    </row>
    <row r="1318" spans="5:27">
      <c r="E1318"/>
      <c r="AA1318" s="4"/>
    </row>
    <row r="1319" spans="5:27">
      <c r="E1319"/>
      <c r="AA1319" s="4"/>
    </row>
    <row r="1320" spans="5:27">
      <c r="E1320"/>
      <c r="AA1320" s="4"/>
    </row>
    <row r="1321" spans="5:27">
      <c r="E1321"/>
      <c r="AA1321" s="4"/>
    </row>
    <row r="1322" spans="5:27">
      <c r="E1322"/>
      <c r="AA1322" s="4"/>
    </row>
    <row r="1323" spans="5:27">
      <c r="E1323"/>
      <c r="AA1323" s="4"/>
    </row>
    <row r="1324" spans="5:27">
      <c r="E1324"/>
      <c r="AA1324" s="4"/>
    </row>
    <row r="1325" spans="5:27">
      <c r="E1325"/>
      <c r="AA1325" s="4"/>
    </row>
    <row r="1326" spans="5:27">
      <c r="E1326"/>
      <c r="AA1326" s="4"/>
    </row>
    <row r="1327" spans="5:27">
      <c r="E1327"/>
      <c r="AA1327" s="4"/>
    </row>
    <row r="1328" spans="5:27">
      <c r="E1328"/>
      <c r="AA1328" s="4"/>
    </row>
    <row r="1329" spans="5:27">
      <c r="E1329"/>
      <c r="AA1329" s="4"/>
    </row>
    <row r="1330" spans="5:27">
      <c r="E1330"/>
      <c r="AA1330" s="4"/>
    </row>
    <row r="1331" spans="5:27">
      <c r="E1331"/>
      <c r="AA1331" s="4"/>
    </row>
    <row r="1332" spans="5:27">
      <c r="E1332"/>
      <c r="AA1332" s="4"/>
    </row>
    <row r="1333" spans="5:27">
      <c r="E1333"/>
      <c r="AA1333" s="4"/>
    </row>
    <row r="1334" spans="5:27">
      <c r="E1334"/>
      <c r="AA1334" s="4"/>
    </row>
    <row r="1335" spans="5:27">
      <c r="E1335"/>
      <c r="AA1335" s="4"/>
    </row>
    <row r="1336" spans="5:27">
      <c r="E1336"/>
      <c r="AA1336" s="4"/>
    </row>
    <row r="1337" spans="5:27">
      <c r="E1337"/>
      <c r="AA1337" s="4"/>
    </row>
    <row r="1338" spans="5:27">
      <c r="E1338"/>
      <c r="AA1338" s="4"/>
    </row>
    <row r="1339" spans="5:27">
      <c r="E1339"/>
      <c r="AA1339" s="4"/>
    </row>
    <row r="1340" spans="5:27">
      <c r="E1340"/>
      <c r="AA1340" s="4"/>
    </row>
    <row r="1341" spans="5:27">
      <c r="E1341"/>
      <c r="AA1341" s="4"/>
    </row>
    <row r="1342" spans="5:27">
      <c r="E1342"/>
      <c r="AA1342" s="4"/>
    </row>
    <row r="1343" spans="5:27">
      <c r="E1343"/>
      <c r="AA1343" s="4"/>
    </row>
    <row r="1344" spans="5:27">
      <c r="E1344"/>
      <c r="AA1344" s="4"/>
    </row>
    <row r="1345" spans="5:27">
      <c r="E1345"/>
      <c r="AA1345" s="4"/>
    </row>
    <row r="1346" spans="5:27">
      <c r="E1346"/>
      <c r="AA1346" s="4"/>
    </row>
    <row r="1347" spans="5:27">
      <c r="E1347"/>
      <c r="AA1347" s="4"/>
    </row>
    <row r="1348" spans="5:27">
      <c r="E1348"/>
      <c r="AA1348" s="4"/>
    </row>
    <row r="1349" spans="5:27">
      <c r="E1349"/>
      <c r="AA1349" s="4"/>
    </row>
    <row r="1350" spans="5:27">
      <c r="E1350"/>
      <c r="AA1350" s="4"/>
    </row>
    <row r="1351" spans="5:27">
      <c r="E1351"/>
      <c r="AA1351" s="4"/>
    </row>
    <row r="1352" spans="5:27">
      <c r="E1352"/>
      <c r="AA1352" s="4"/>
    </row>
    <row r="1353" spans="5:27">
      <c r="E1353"/>
      <c r="AA1353" s="4"/>
    </row>
    <row r="1354" spans="5:27">
      <c r="E1354"/>
      <c r="AA1354" s="4"/>
    </row>
    <row r="1355" spans="5:27">
      <c r="E1355"/>
      <c r="AA1355" s="4"/>
    </row>
    <row r="1356" spans="5:27">
      <c r="E1356"/>
      <c r="AA1356" s="4"/>
    </row>
    <row r="1357" spans="5:27">
      <c r="E1357"/>
      <c r="AA1357" s="4"/>
    </row>
    <row r="1358" spans="5:27">
      <c r="E1358"/>
      <c r="AA1358" s="4"/>
    </row>
    <row r="1359" spans="5:27">
      <c r="E1359"/>
      <c r="AA1359" s="4"/>
    </row>
    <row r="1360" spans="5:27">
      <c r="E1360"/>
      <c r="AA1360" s="4"/>
    </row>
    <row r="1361" spans="5:27">
      <c r="E1361"/>
      <c r="AA1361" s="4"/>
    </row>
    <row r="1362" spans="5:27">
      <c r="E1362"/>
      <c r="AA1362" s="4"/>
    </row>
    <row r="1363" spans="5:27">
      <c r="E1363"/>
      <c r="AA1363" s="4"/>
    </row>
    <row r="1364" spans="5:27">
      <c r="E1364"/>
      <c r="AA1364" s="4"/>
    </row>
    <row r="1365" spans="5:27">
      <c r="E1365"/>
      <c r="AA1365" s="4"/>
    </row>
    <row r="1366" spans="5:27">
      <c r="E1366"/>
      <c r="AA1366" s="4"/>
    </row>
    <row r="1367" spans="5:27">
      <c r="E1367"/>
      <c r="AA1367" s="4"/>
    </row>
    <row r="1368" spans="5:27">
      <c r="E1368"/>
      <c r="AA1368" s="4"/>
    </row>
    <row r="1369" spans="5:27">
      <c r="E1369"/>
      <c r="AA1369" s="4"/>
    </row>
    <row r="1370" spans="5:27">
      <c r="E1370"/>
      <c r="AA1370" s="4"/>
    </row>
    <row r="1371" spans="5:27">
      <c r="E1371"/>
      <c r="AA1371" s="4"/>
    </row>
    <row r="1372" spans="5:27">
      <c r="E1372"/>
      <c r="AA1372" s="4"/>
    </row>
    <row r="1373" spans="5:27">
      <c r="E1373"/>
      <c r="AA1373" s="4"/>
    </row>
    <row r="1374" spans="5:27">
      <c r="E1374"/>
      <c r="AA1374" s="4"/>
    </row>
    <row r="1375" spans="5:27">
      <c r="E1375"/>
      <c r="AA1375" s="4"/>
    </row>
    <row r="1376" spans="5:27">
      <c r="E1376"/>
      <c r="AA1376" s="4"/>
    </row>
    <row r="1377" spans="5:27">
      <c r="E1377"/>
      <c r="AA1377" s="4"/>
    </row>
    <row r="1378" spans="5:27">
      <c r="E1378"/>
      <c r="AA1378" s="4"/>
    </row>
    <row r="1379" spans="5:27">
      <c r="E1379"/>
      <c r="AA1379" s="4"/>
    </row>
    <row r="1380" spans="5:27">
      <c r="E1380"/>
      <c r="AA1380" s="4"/>
    </row>
    <row r="1381" spans="5:27">
      <c r="E1381"/>
      <c r="AA1381" s="4"/>
    </row>
    <row r="1382" spans="5:27">
      <c r="E1382"/>
      <c r="AA1382" s="4"/>
    </row>
    <row r="1383" spans="5:27">
      <c r="E1383"/>
      <c r="AA1383" s="4"/>
    </row>
    <row r="1384" spans="5:27">
      <c r="E1384"/>
      <c r="AA1384" s="4"/>
    </row>
    <row r="1385" spans="5:27">
      <c r="E1385"/>
      <c r="AA1385" s="4"/>
    </row>
    <row r="1386" spans="5:27">
      <c r="E1386"/>
      <c r="AA1386" s="4"/>
    </row>
    <row r="1387" spans="5:27">
      <c r="E1387"/>
      <c r="AA1387" s="4"/>
    </row>
    <row r="1388" spans="5:27">
      <c r="E1388"/>
      <c r="AA1388" s="4"/>
    </row>
    <row r="1389" spans="5:27">
      <c r="E1389"/>
      <c r="AA1389" s="4"/>
    </row>
    <row r="1390" spans="5:27">
      <c r="E1390"/>
      <c r="AA1390" s="4"/>
    </row>
    <row r="1391" spans="5:27">
      <c r="E1391"/>
      <c r="AA1391" s="4"/>
    </row>
    <row r="1392" spans="5:27">
      <c r="E1392"/>
      <c r="AA1392" s="4"/>
    </row>
    <row r="1393" spans="5:27">
      <c r="E1393"/>
      <c r="AA1393" s="4"/>
    </row>
    <row r="1394" spans="5:27">
      <c r="E1394"/>
      <c r="AA1394" s="4"/>
    </row>
    <row r="1395" spans="5:27">
      <c r="E1395"/>
      <c r="AA1395" s="4"/>
    </row>
    <row r="1396" spans="5:27">
      <c r="E1396"/>
      <c r="AA1396" s="4"/>
    </row>
    <row r="1397" spans="5:27">
      <c r="E1397"/>
      <c r="AA1397" s="4"/>
    </row>
    <row r="1398" spans="5:27">
      <c r="E1398"/>
      <c r="AA1398" s="4"/>
    </row>
    <row r="1399" spans="5:27">
      <c r="E1399"/>
      <c r="AA1399" s="4"/>
    </row>
    <row r="1400" spans="5:27">
      <c r="E1400"/>
      <c r="AA1400" s="4"/>
    </row>
    <row r="1401" spans="5:27">
      <c r="E1401"/>
      <c r="AA1401" s="4"/>
    </row>
    <row r="1402" spans="5:27">
      <c r="E1402"/>
      <c r="AA1402" s="4"/>
    </row>
    <row r="1403" spans="5:27">
      <c r="E1403"/>
      <c r="AA1403" s="4"/>
    </row>
    <row r="1404" spans="5:27">
      <c r="E1404"/>
      <c r="AA1404" s="4"/>
    </row>
    <row r="1405" spans="5:27">
      <c r="E1405"/>
      <c r="AA1405" s="4"/>
    </row>
    <row r="1406" spans="5:27">
      <c r="E1406"/>
      <c r="AA1406" s="4"/>
    </row>
    <row r="1407" spans="5:27">
      <c r="E1407"/>
      <c r="AA1407" s="4"/>
    </row>
    <row r="1408" spans="5:27">
      <c r="E1408"/>
      <c r="AA1408" s="4"/>
    </row>
    <row r="1409" spans="5:27">
      <c r="E1409"/>
      <c r="AA1409" s="4"/>
    </row>
    <row r="1410" spans="5:27">
      <c r="E1410"/>
      <c r="AA1410" s="4"/>
    </row>
    <row r="1411" spans="5:27">
      <c r="E1411"/>
      <c r="AA1411" s="4"/>
    </row>
    <row r="1412" spans="5:27">
      <c r="E1412"/>
      <c r="AA1412" s="4"/>
    </row>
    <row r="1413" spans="5:27">
      <c r="E1413"/>
      <c r="AA1413" s="4"/>
    </row>
    <row r="1414" spans="5:27">
      <c r="E1414"/>
      <c r="AA1414" s="4"/>
    </row>
    <row r="1415" spans="5:27">
      <c r="E1415"/>
      <c r="AA1415" s="4"/>
    </row>
    <row r="1416" spans="5:27">
      <c r="E1416"/>
      <c r="AA1416" s="4"/>
    </row>
    <row r="1417" spans="5:27">
      <c r="E1417"/>
      <c r="AA1417" s="4"/>
    </row>
    <row r="1418" spans="5:27">
      <c r="E1418"/>
      <c r="AA1418" s="4"/>
    </row>
    <row r="1419" spans="5:27">
      <c r="E1419"/>
      <c r="AA1419" s="4"/>
    </row>
    <row r="1420" spans="5:27">
      <c r="E1420"/>
      <c r="AA1420" s="4"/>
    </row>
    <row r="1421" spans="5:27">
      <c r="E1421"/>
      <c r="AA1421" s="4"/>
    </row>
    <row r="1422" spans="5:27">
      <c r="E1422"/>
      <c r="AA1422" s="4"/>
    </row>
    <row r="1423" spans="5:27">
      <c r="E1423"/>
      <c r="AA1423" s="4"/>
    </row>
    <row r="1424" spans="5:27">
      <c r="E1424"/>
      <c r="AA1424" s="4"/>
    </row>
    <row r="1425" spans="5:27">
      <c r="E1425"/>
      <c r="AA1425" s="4"/>
    </row>
    <row r="1426" spans="5:27">
      <c r="E1426"/>
      <c r="AA1426" s="4"/>
    </row>
    <row r="1427" spans="5:27">
      <c r="E1427"/>
      <c r="AA1427" s="4"/>
    </row>
    <row r="1428" spans="5:27">
      <c r="E1428"/>
      <c r="AA1428" s="4"/>
    </row>
    <row r="1429" spans="5:27">
      <c r="E1429"/>
      <c r="AA1429" s="4"/>
    </row>
    <row r="1430" spans="5:27">
      <c r="E1430"/>
      <c r="AA1430" s="4"/>
    </row>
    <row r="1431" spans="5:27">
      <c r="E1431"/>
      <c r="AA1431" s="4"/>
    </row>
    <row r="1432" spans="5:27">
      <c r="E1432"/>
      <c r="AA1432" s="4"/>
    </row>
    <row r="1433" spans="5:27">
      <c r="E1433"/>
      <c r="AA1433" s="4"/>
    </row>
    <row r="1434" spans="5:27">
      <c r="E1434"/>
      <c r="AA1434" s="4"/>
    </row>
    <row r="1435" spans="5:27">
      <c r="E1435"/>
      <c r="AA1435" s="4"/>
    </row>
    <row r="1436" spans="5:27">
      <c r="E1436"/>
      <c r="AA1436" s="4"/>
    </row>
    <row r="1437" spans="5:27">
      <c r="E1437"/>
      <c r="AA1437" s="4"/>
    </row>
    <row r="1438" spans="5:27">
      <c r="E1438"/>
      <c r="AA1438" s="4"/>
    </row>
    <row r="1439" spans="5:27">
      <c r="E1439"/>
      <c r="AA1439" s="4"/>
    </row>
    <row r="1440" spans="5:27">
      <c r="E1440"/>
      <c r="AA1440" s="4"/>
    </row>
    <row r="1441" spans="5:27">
      <c r="E1441"/>
      <c r="AA1441" s="4"/>
    </row>
    <row r="1442" spans="5:27">
      <c r="E1442"/>
      <c r="AA1442" s="4"/>
    </row>
    <row r="1443" spans="5:27">
      <c r="E1443"/>
      <c r="AA1443" s="4"/>
    </row>
    <row r="1444" spans="5:27">
      <c r="E1444"/>
      <c r="AA1444" s="4"/>
    </row>
    <row r="1445" spans="5:27">
      <c r="E1445"/>
      <c r="AA1445" s="4"/>
    </row>
    <row r="1446" spans="5:27">
      <c r="E1446"/>
      <c r="AA1446" s="4"/>
    </row>
    <row r="1447" spans="5:27">
      <c r="E1447"/>
      <c r="AA1447" s="4"/>
    </row>
    <row r="1448" spans="5:27">
      <c r="E1448"/>
      <c r="AA1448" s="4"/>
    </row>
    <row r="1449" spans="5:27">
      <c r="E1449"/>
      <c r="AA1449" s="4"/>
    </row>
    <row r="1450" spans="5:27">
      <c r="E1450"/>
      <c r="AA1450" s="4"/>
    </row>
    <row r="1451" spans="5:27">
      <c r="E1451"/>
      <c r="AA1451" s="4"/>
    </row>
    <row r="1452" spans="5:27">
      <c r="E1452"/>
      <c r="AA1452" s="4"/>
    </row>
    <row r="1453" spans="5:27">
      <c r="E1453"/>
      <c r="AA1453" s="4"/>
    </row>
    <row r="1454" spans="5:27">
      <c r="E1454"/>
      <c r="AA1454" s="4"/>
    </row>
    <row r="1455" spans="5:27">
      <c r="E1455"/>
      <c r="AA1455" s="4"/>
    </row>
    <row r="1456" spans="5:27">
      <c r="E1456"/>
      <c r="AA1456" s="4"/>
    </row>
    <row r="1457" spans="5:27">
      <c r="E1457"/>
      <c r="AA1457" s="4"/>
    </row>
    <row r="1458" spans="5:27">
      <c r="E1458"/>
      <c r="AA1458" s="4"/>
    </row>
    <row r="1459" spans="5:27">
      <c r="E1459"/>
      <c r="AA1459" s="4"/>
    </row>
    <row r="1460" spans="5:27">
      <c r="E1460"/>
      <c r="AA1460" s="4"/>
    </row>
    <row r="1461" spans="5:27">
      <c r="E1461"/>
      <c r="AA1461" s="4"/>
    </row>
    <row r="1462" spans="5:27">
      <c r="E1462"/>
      <c r="AA1462" s="4"/>
    </row>
    <row r="1463" spans="5:27">
      <c r="E1463"/>
      <c r="AA1463" s="4"/>
    </row>
    <row r="1464" spans="5:27">
      <c r="E1464"/>
      <c r="AA1464" s="4"/>
    </row>
    <row r="1465" spans="5:27">
      <c r="E1465"/>
      <c r="AA1465" s="4"/>
    </row>
    <row r="1466" spans="5:27">
      <c r="E1466"/>
      <c r="AA1466" s="4"/>
    </row>
    <row r="1467" spans="5:27">
      <c r="E1467"/>
      <c r="AA1467" s="4"/>
    </row>
    <row r="1468" spans="5:27">
      <c r="E1468"/>
      <c r="AA1468" s="4"/>
    </row>
    <row r="1469" spans="5:27">
      <c r="E1469"/>
      <c r="AA1469" s="4"/>
    </row>
    <row r="1470" spans="5:27">
      <c r="E1470"/>
      <c r="AA1470" s="4"/>
    </row>
    <row r="1471" spans="5:27">
      <c r="E1471"/>
      <c r="AA1471" s="4"/>
    </row>
    <row r="1472" spans="5:27">
      <c r="E1472"/>
      <c r="AA1472" s="4"/>
    </row>
    <row r="1473" spans="5:27">
      <c r="E1473"/>
      <c r="AA1473" s="4"/>
    </row>
    <row r="1474" spans="5:27">
      <c r="E1474"/>
      <c r="AA1474" s="4"/>
    </row>
    <row r="1475" spans="5:27">
      <c r="E1475"/>
      <c r="AA1475" s="4"/>
    </row>
    <row r="1476" spans="5:27">
      <c r="E1476"/>
      <c r="AA1476" s="4"/>
    </row>
    <row r="1477" spans="5:27">
      <c r="E1477"/>
      <c r="AA1477" s="4"/>
    </row>
    <row r="1478" spans="5:27">
      <c r="E1478"/>
      <c r="AA1478" s="4"/>
    </row>
    <row r="1479" spans="5:27">
      <c r="E1479"/>
      <c r="AA1479" s="4"/>
    </row>
    <row r="1480" spans="5:27">
      <c r="E1480"/>
      <c r="AA1480" s="4"/>
    </row>
    <row r="1481" spans="5:27">
      <c r="E1481"/>
      <c r="AA1481" s="4"/>
    </row>
    <row r="1482" spans="5:27">
      <c r="E1482"/>
      <c r="AA1482" s="4"/>
    </row>
    <row r="1483" spans="5:27">
      <c r="E1483"/>
      <c r="AA1483" s="4"/>
    </row>
    <row r="1484" spans="5:27">
      <c r="E1484"/>
      <c r="AA1484" s="4"/>
    </row>
    <row r="1485" spans="5:27">
      <c r="E1485"/>
      <c r="AA1485" s="4"/>
    </row>
    <row r="1486" spans="5:27">
      <c r="E1486"/>
      <c r="AA1486" s="4"/>
    </row>
    <row r="1487" spans="5:27">
      <c r="E1487"/>
      <c r="AA1487" s="4"/>
    </row>
    <row r="1488" spans="5:27">
      <c r="E1488"/>
      <c r="AA1488" s="4"/>
    </row>
    <row r="1489" spans="5:27">
      <c r="E1489"/>
      <c r="AA1489" s="4"/>
    </row>
    <row r="1490" spans="5:27">
      <c r="E1490"/>
      <c r="AA1490" s="4"/>
    </row>
    <row r="1491" spans="5:27">
      <c r="E1491"/>
      <c r="AA1491" s="4"/>
    </row>
    <row r="1492" spans="5:27">
      <c r="E1492"/>
      <c r="AA1492" s="4"/>
    </row>
    <row r="1493" spans="5:27">
      <c r="E1493"/>
      <c r="AA1493" s="4"/>
    </row>
    <row r="1494" spans="5:27">
      <c r="E1494"/>
      <c r="AA1494" s="4"/>
    </row>
    <row r="1495" spans="5:27">
      <c r="E1495"/>
      <c r="AA1495" s="4"/>
    </row>
    <row r="1496" spans="5:27">
      <c r="E1496"/>
      <c r="AA1496" s="4"/>
    </row>
    <row r="1497" spans="5:27">
      <c r="E1497"/>
      <c r="AA1497" s="4"/>
    </row>
    <row r="1498" spans="5:27">
      <c r="E1498"/>
      <c r="AA1498" s="4"/>
    </row>
    <row r="1499" spans="5:27">
      <c r="E1499"/>
      <c r="AA1499" s="4"/>
    </row>
    <row r="1500" spans="5:27">
      <c r="E1500"/>
      <c r="AA1500" s="4"/>
    </row>
    <row r="1501" spans="5:27">
      <c r="E1501"/>
      <c r="AA1501" s="4"/>
    </row>
    <row r="1502" spans="5:27">
      <c r="E1502"/>
      <c r="AA1502" s="4"/>
    </row>
    <row r="1503" spans="5:27">
      <c r="E1503"/>
      <c r="AA1503" s="4"/>
    </row>
    <row r="1504" spans="5:27">
      <c r="E1504"/>
      <c r="AA1504" s="4"/>
    </row>
    <row r="1505" spans="5:27">
      <c r="E1505"/>
      <c r="AA1505" s="4"/>
    </row>
    <row r="1506" spans="5:27">
      <c r="E1506"/>
      <c r="AA1506" s="4"/>
    </row>
    <row r="1507" spans="5:27">
      <c r="E1507"/>
      <c r="AA1507" s="4"/>
    </row>
    <row r="1508" spans="5:27">
      <c r="E1508"/>
      <c r="AA1508" s="4"/>
    </row>
    <row r="1509" spans="5:27">
      <c r="E1509"/>
      <c r="AA1509" s="4"/>
    </row>
    <row r="1510" spans="5:27">
      <c r="E1510"/>
      <c r="AA1510" s="4"/>
    </row>
    <row r="1511" spans="5:27">
      <c r="E1511"/>
      <c r="AA1511" s="4"/>
    </row>
    <row r="1512" spans="5:27">
      <c r="E1512"/>
      <c r="AA1512" s="4"/>
    </row>
    <row r="1513" spans="5:27">
      <c r="E1513"/>
      <c r="AA1513" s="4"/>
    </row>
    <row r="1514" spans="5:27">
      <c r="E1514"/>
      <c r="AA1514" s="4"/>
    </row>
    <row r="1515" spans="5:27">
      <c r="E1515"/>
      <c r="AA1515" s="4"/>
    </row>
    <row r="1516" spans="5:27">
      <c r="E1516"/>
      <c r="AA1516" s="4"/>
    </row>
    <row r="1517" spans="5:27">
      <c r="E1517"/>
      <c r="AA1517" s="4"/>
    </row>
    <row r="1518" spans="5:27">
      <c r="E1518"/>
      <c r="AA1518" s="4"/>
    </row>
    <row r="1519" spans="5:27">
      <c r="E1519"/>
      <c r="AA1519" s="4"/>
    </row>
    <row r="1520" spans="5:27">
      <c r="E1520"/>
      <c r="AA1520" s="4"/>
    </row>
    <row r="1521" spans="5:27">
      <c r="E1521"/>
      <c r="AA1521" s="4"/>
    </row>
    <row r="1522" spans="5:27">
      <c r="E1522"/>
      <c r="AA1522" s="4"/>
    </row>
    <row r="1523" spans="5:27">
      <c r="E1523"/>
      <c r="AA1523" s="4"/>
    </row>
    <row r="1524" spans="5:27">
      <c r="E1524"/>
      <c r="AA1524" s="4"/>
    </row>
    <row r="1525" spans="5:27">
      <c r="E1525"/>
      <c r="AA1525" s="4"/>
    </row>
    <row r="1526" spans="5:27">
      <c r="E1526"/>
      <c r="AA1526" s="4"/>
    </row>
    <row r="1527" spans="5:27">
      <c r="E1527"/>
      <c r="AA1527" s="4"/>
    </row>
    <row r="1528" spans="5:27">
      <c r="E1528"/>
      <c r="AA1528" s="4"/>
    </row>
    <row r="1529" spans="5:27">
      <c r="E1529"/>
      <c r="AA1529" s="4"/>
    </row>
    <row r="1530" spans="5:27">
      <c r="E1530"/>
      <c r="AA1530" s="4"/>
    </row>
    <row r="1531" spans="5:27">
      <c r="E1531"/>
      <c r="AA1531" s="4"/>
    </row>
    <row r="1532" spans="5:27">
      <c r="E1532"/>
      <c r="AA1532" s="4"/>
    </row>
    <row r="1533" spans="5:27">
      <c r="E1533"/>
      <c r="AA1533" s="4"/>
    </row>
    <row r="1534" spans="5:27">
      <c r="E1534"/>
      <c r="AA1534" s="4"/>
    </row>
    <row r="1535" spans="5:27">
      <c r="E1535"/>
      <c r="AA1535" s="4"/>
    </row>
    <row r="1536" spans="5:27">
      <c r="E1536"/>
      <c r="AA1536" s="4"/>
    </row>
    <row r="1537" spans="5:27">
      <c r="E1537"/>
      <c r="AA1537" s="4"/>
    </row>
    <row r="1538" spans="5:27">
      <c r="E1538"/>
      <c r="AA1538" s="4"/>
    </row>
    <row r="1539" spans="5:27">
      <c r="E1539"/>
      <c r="AA1539" s="4"/>
    </row>
    <row r="1540" spans="5:27">
      <c r="E1540"/>
      <c r="AA1540" s="4"/>
    </row>
    <row r="1541" spans="5:27">
      <c r="E1541"/>
      <c r="AA1541" s="4"/>
    </row>
    <row r="1542" spans="5:27">
      <c r="E1542"/>
      <c r="AA1542" s="4"/>
    </row>
    <row r="1543" spans="5:27">
      <c r="E1543"/>
      <c r="AA1543" s="4"/>
    </row>
    <row r="1544" spans="5:27">
      <c r="E1544"/>
      <c r="AA1544" s="4"/>
    </row>
    <row r="1545" spans="5:27">
      <c r="E1545"/>
      <c r="AA1545" s="4"/>
    </row>
    <row r="1546" spans="5:27">
      <c r="E1546"/>
      <c r="AA1546" s="4"/>
    </row>
    <row r="1547" spans="5:27">
      <c r="E1547"/>
      <c r="AA1547" s="4"/>
    </row>
    <row r="1548" spans="5:27">
      <c r="E1548"/>
      <c r="AA1548" s="4"/>
    </row>
    <row r="1549" spans="5:27">
      <c r="E1549"/>
      <c r="AA1549" s="4"/>
    </row>
    <row r="1550" spans="5:27">
      <c r="E1550"/>
      <c r="AA1550" s="4"/>
    </row>
    <row r="1551" spans="5:27">
      <c r="E1551"/>
      <c r="AA1551" s="4"/>
    </row>
    <row r="1552" spans="5:27">
      <c r="E1552"/>
      <c r="AA1552" s="4"/>
    </row>
    <row r="1553" spans="5:27">
      <c r="E1553"/>
      <c r="AA1553" s="4"/>
    </row>
    <row r="1554" spans="5:27">
      <c r="E1554"/>
      <c r="AA1554" s="4"/>
    </row>
    <row r="1555" spans="5:27">
      <c r="E1555"/>
      <c r="AA1555" s="4"/>
    </row>
    <row r="1556" spans="5:27">
      <c r="E1556"/>
      <c r="AA1556" s="4"/>
    </row>
    <row r="1557" spans="5:27">
      <c r="E1557"/>
      <c r="AA1557" s="4"/>
    </row>
    <row r="1558" spans="5:27">
      <c r="E1558"/>
      <c r="AA1558" s="4"/>
    </row>
    <row r="1559" spans="5:27">
      <c r="E1559"/>
      <c r="AA1559" s="4"/>
    </row>
    <row r="1560" spans="5:27">
      <c r="E1560"/>
      <c r="AA1560" s="4"/>
    </row>
    <row r="1561" spans="5:27">
      <c r="E1561"/>
      <c r="AA1561" s="4"/>
    </row>
    <row r="1562" spans="5:27">
      <c r="E1562"/>
      <c r="AA1562" s="4"/>
    </row>
    <row r="1563" spans="5:27">
      <c r="E1563"/>
      <c r="AA1563" s="4"/>
    </row>
    <row r="1564" spans="5:27">
      <c r="E1564"/>
      <c r="AA1564" s="4"/>
    </row>
    <row r="1565" spans="5:27">
      <c r="E1565"/>
      <c r="AA1565" s="4"/>
    </row>
    <row r="1566" spans="5:27">
      <c r="E1566"/>
      <c r="AA1566" s="4"/>
    </row>
    <row r="1567" spans="5:27">
      <c r="E1567"/>
      <c r="AA1567" s="4"/>
    </row>
    <row r="1568" spans="5:27">
      <c r="E1568"/>
      <c r="AA1568" s="4"/>
    </row>
    <row r="1569" spans="5:27">
      <c r="E1569"/>
      <c r="AA1569" s="4"/>
    </row>
    <row r="1570" spans="5:27">
      <c r="E1570"/>
      <c r="AA1570" s="4"/>
    </row>
    <row r="1571" spans="5:27">
      <c r="E1571"/>
      <c r="AA1571" s="4"/>
    </row>
    <row r="1572" spans="5:27">
      <c r="E1572"/>
      <c r="AA1572" s="4"/>
    </row>
    <row r="1573" spans="5:27">
      <c r="E1573"/>
      <c r="AA1573" s="4"/>
    </row>
    <row r="1574" spans="5:27">
      <c r="E1574"/>
      <c r="AA1574" s="4"/>
    </row>
    <row r="1575" spans="5:27">
      <c r="E1575"/>
      <c r="AA1575" s="4"/>
    </row>
    <row r="1576" spans="5:27">
      <c r="E1576"/>
      <c r="AA1576" s="4"/>
    </row>
    <row r="1577" spans="5:27">
      <c r="E1577"/>
      <c r="AA1577" s="4"/>
    </row>
    <row r="1578" spans="5:27">
      <c r="E1578"/>
      <c r="AA1578" s="4"/>
    </row>
    <row r="1579" spans="5:27">
      <c r="E1579"/>
      <c r="AA1579" s="4"/>
    </row>
    <row r="1580" spans="5:27">
      <c r="E1580"/>
      <c r="AA1580" s="4"/>
    </row>
    <row r="1581" spans="5:27">
      <c r="E1581"/>
      <c r="AA1581" s="4"/>
    </row>
    <row r="1582" spans="5:27">
      <c r="E1582"/>
      <c r="AA1582" s="4"/>
    </row>
    <row r="1583" spans="5:27">
      <c r="E1583"/>
      <c r="AA1583" s="4"/>
    </row>
    <row r="1584" spans="5:27">
      <c r="E1584"/>
      <c r="AA1584" s="4"/>
    </row>
    <row r="1585" spans="5:27">
      <c r="E1585"/>
      <c r="AA1585" s="4"/>
    </row>
    <row r="1586" spans="5:27">
      <c r="E1586"/>
      <c r="AA1586" s="4"/>
    </row>
    <row r="1587" spans="5:27">
      <c r="E1587"/>
      <c r="AA1587" s="4"/>
    </row>
    <row r="1588" spans="5:27">
      <c r="E1588"/>
      <c r="AA1588" s="4"/>
    </row>
    <row r="1589" spans="5:27">
      <c r="E1589"/>
      <c r="AA1589" s="4"/>
    </row>
    <row r="1590" spans="5:27">
      <c r="E1590"/>
      <c r="AA1590" s="4"/>
    </row>
    <row r="1591" spans="5:27">
      <c r="E1591"/>
      <c r="AA1591" s="4"/>
    </row>
    <row r="1592" spans="5:27">
      <c r="E1592"/>
      <c r="AA1592" s="4"/>
    </row>
    <row r="1593" spans="5:27">
      <c r="E1593"/>
      <c r="AA1593" s="4"/>
    </row>
    <row r="1594" spans="5:27">
      <c r="E1594"/>
      <c r="AA1594" s="4"/>
    </row>
    <row r="1595" spans="5:27">
      <c r="E1595"/>
      <c r="AA1595" s="4"/>
    </row>
    <row r="1596" spans="5:27">
      <c r="E1596"/>
      <c r="AA1596" s="4"/>
    </row>
    <row r="1597" spans="5:27">
      <c r="E1597"/>
      <c r="AA1597" s="4"/>
    </row>
    <row r="1598" spans="5:27">
      <c r="E1598"/>
      <c r="AA1598" s="4"/>
    </row>
    <row r="1599" spans="5:27">
      <c r="E1599"/>
      <c r="AA1599" s="4"/>
    </row>
    <row r="1600" spans="5:27">
      <c r="E1600"/>
      <c r="AA1600" s="4"/>
    </row>
    <row r="1601" spans="5:27">
      <c r="E1601"/>
      <c r="AA1601" s="4"/>
    </row>
    <row r="1602" spans="5:27">
      <c r="E1602"/>
      <c r="AA1602" s="4"/>
    </row>
    <row r="1603" spans="5:27">
      <c r="E1603"/>
      <c r="AA1603" s="4"/>
    </row>
    <row r="1604" spans="5:27">
      <c r="E1604"/>
      <c r="AA1604" s="4"/>
    </row>
    <row r="1605" spans="5:27">
      <c r="E1605"/>
      <c r="AA1605" s="4"/>
    </row>
    <row r="1606" spans="5:27">
      <c r="E1606"/>
      <c r="AA1606" s="4"/>
    </row>
    <row r="1607" spans="5:27">
      <c r="E1607"/>
      <c r="AA1607" s="4"/>
    </row>
    <row r="1608" spans="5:27">
      <c r="E1608"/>
      <c r="AA1608" s="4"/>
    </row>
    <row r="1609" spans="5:27">
      <c r="E1609"/>
      <c r="AA1609" s="4"/>
    </row>
    <row r="1610" spans="5:27">
      <c r="E1610"/>
      <c r="AA1610" s="4"/>
    </row>
    <row r="1611" spans="5:27">
      <c r="E1611"/>
      <c r="AA1611" s="4"/>
    </row>
    <row r="1612" spans="5:27">
      <c r="E1612"/>
      <c r="AA1612" s="4"/>
    </row>
    <row r="1613" spans="5:27">
      <c r="E1613"/>
      <c r="AA1613" s="4"/>
    </row>
    <row r="1614" spans="5:27">
      <c r="E1614"/>
      <c r="AA1614" s="4"/>
    </row>
    <row r="1615" spans="5:27">
      <c r="E1615"/>
      <c r="AA1615" s="4"/>
    </row>
    <row r="1616" spans="5:27">
      <c r="E1616"/>
      <c r="AA1616" s="4"/>
    </row>
    <row r="1617" spans="5:27">
      <c r="E1617"/>
      <c r="AA1617" s="4"/>
    </row>
    <row r="1618" spans="5:27">
      <c r="E1618"/>
      <c r="AA1618" s="4"/>
    </row>
    <row r="1619" spans="5:27">
      <c r="E1619"/>
      <c r="AA1619" s="4"/>
    </row>
    <row r="1620" spans="5:27">
      <c r="E1620"/>
      <c r="AA1620" s="4"/>
    </row>
    <row r="1621" spans="5:27">
      <c r="E1621"/>
      <c r="AA1621" s="4"/>
    </row>
    <row r="1622" spans="5:27">
      <c r="E1622"/>
      <c r="AA1622" s="4"/>
    </row>
    <row r="1623" spans="5:27">
      <c r="E1623"/>
      <c r="AA1623" s="4"/>
    </row>
    <row r="1624" spans="5:27">
      <c r="E1624"/>
      <c r="AA1624" s="4"/>
    </row>
    <row r="1625" spans="5:27">
      <c r="E1625"/>
      <c r="AA1625" s="4"/>
    </row>
    <row r="1626" spans="5:27">
      <c r="E1626"/>
      <c r="AA1626" s="4"/>
    </row>
    <row r="1627" spans="5:27">
      <c r="E1627"/>
      <c r="AA1627" s="4"/>
    </row>
    <row r="1628" spans="5:27">
      <c r="E1628"/>
      <c r="AA1628" s="4"/>
    </row>
    <row r="1629" spans="5:27">
      <c r="E1629"/>
      <c r="AA1629" s="4"/>
    </row>
    <row r="1630" spans="5:27">
      <c r="E1630"/>
      <c r="AA1630" s="4"/>
    </row>
    <row r="1631" spans="5:27">
      <c r="E1631"/>
      <c r="AA1631" s="4"/>
    </row>
    <row r="1632" spans="5:27">
      <c r="E1632"/>
      <c r="AA1632" s="4"/>
    </row>
    <row r="1633" spans="5:27">
      <c r="E1633"/>
      <c r="AA1633" s="4"/>
    </row>
    <row r="1634" spans="5:27">
      <c r="E1634"/>
      <c r="AA1634" s="4"/>
    </row>
    <row r="1635" spans="5:27">
      <c r="E1635"/>
      <c r="AA1635" s="4"/>
    </row>
    <row r="1636" spans="5:27">
      <c r="E1636"/>
      <c r="AA1636" s="4"/>
    </row>
    <row r="1637" spans="5:27">
      <c r="E1637"/>
      <c r="AA1637" s="4"/>
    </row>
    <row r="1638" spans="5:27">
      <c r="E1638"/>
      <c r="AA1638" s="4"/>
    </row>
    <row r="1639" spans="5:27">
      <c r="E1639"/>
      <c r="AA1639" s="4"/>
    </row>
    <row r="1640" spans="5:27">
      <c r="E1640"/>
      <c r="AA1640" s="4"/>
    </row>
    <row r="1641" spans="5:27">
      <c r="E1641"/>
      <c r="AA1641" s="4"/>
    </row>
    <row r="1642" spans="5:27">
      <c r="E1642"/>
      <c r="AA1642" s="4"/>
    </row>
    <row r="1643" spans="5:27">
      <c r="E1643"/>
      <c r="AA1643" s="4"/>
    </row>
    <row r="1644" spans="5:27">
      <c r="E1644"/>
      <c r="AA1644" s="4"/>
    </row>
    <row r="1645" spans="5:27">
      <c r="E1645"/>
      <c r="AA1645" s="4"/>
    </row>
    <row r="1646" spans="5:27">
      <c r="E1646"/>
      <c r="AA1646" s="4"/>
    </row>
    <row r="1647" spans="5:27">
      <c r="E1647"/>
      <c r="AA1647" s="4"/>
    </row>
    <row r="1648" spans="5:27">
      <c r="E1648"/>
      <c r="AA1648" s="4"/>
    </row>
    <row r="1649" spans="5:27">
      <c r="E1649"/>
      <c r="AA1649" s="4"/>
    </row>
    <row r="1650" spans="5:27">
      <c r="E1650"/>
      <c r="AA1650" s="4"/>
    </row>
    <row r="1651" spans="5:27">
      <c r="E1651"/>
      <c r="AA1651" s="4"/>
    </row>
    <row r="1652" spans="5:27">
      <c r="E1652"/>
      <c r="AA1652" s="4"/>
    </row>
    <row r="1653" spans="5:27">
      <c r="E1653"/>
      <c r="AA1653" s="4"/>
    </row>
    <row r="1654" spans="5:27">
      <c r="E1654"/>
      <c r="AA1654" s="4"/>
    </row>
    <row r="1655" spans="5:27">
      <c r="E1655"/>
      <c r="AA1655" s="4"/>
    </row>
    <row r="1656" spans="5:27">
      <c r="E1656"/>
      <c r="AA1656" s="4"/>
    </row>
    <row r="1657" spans="5:27">
      <c r="E1657"/>
      <c r="AA1657" s="4"/>
    </row>
    <row r="1658" spans="5:27">
      <c r="E1658"/>
      <c r="AA1658" s="4"/>
    </row>
    <row r="1659" spans="5:27">
      <c r="E1659"/>
      <c r="AA1659" s="4"/>
    </row>
    <row r="1660" spans="5:27">
      <c r="E1660"/>
      <c r="AA1660" s="4"/>
    </row>
    <row r="1661" spans="5:27">
      <c r="E1661"/>
      <c r="AA1661" s="4"/>
    </row>
    <row r="1662" spans="5:27">
      <c r="E1662"/>
      <c r="AA1662" s="4"/>
    </row>
    <row r="1663" spans="5:27">
      <c r="E1663"/>
      <c r="AA1663" s="4"/>
    </row>
    <row r="1664" spans="5:27">
      <c r="E1664"/>
      <c r="AA1664" s="4"/>
    </row>
    <row r="1665" spans="5:27">
      <c r="E1665"/>
      <c r="AA1665" s="4"/>
    </row>
    <row r="1666" spans="5:27">
      <c r="E1666"/>
      <c r="AA1666" s="4"/>
    </row>
    <row r="1667" spans="5:27">
      <c r="E1667"/>
      <c r="AA1667" s="4"/>
    </row>
    <row r="1668" spans="5:27">
      <c r="E1668"/>
      <c r="AA1668" s="4"/>
    </row>
    <row r="1669" spans="5:27">
      <c r="E1669"/>
      <c r="AA1669" s="4"/>
    </row>
    <row r="1670" spans="5:27">
      <c r="E1670"/>
      <c r="AA1670" s="4"/>
    </row>
    <row r="1671" spans="5:27">
      <c r="E1671"/>
      <c r="AA1671" s="4"/>
    </row>
    <row r="1672" spans="5:27">
      <c r="E1672"/>
      <c r="AA1672" s="4"/>
    </row>
    <row r="1673" spans="5:27">
      <c r="E1673"/>
      <c r="AA1673" s="4"/>
    </row>
    <row r="1674" spans="5:27">
      <c r="E1674"/>
      <c r="AA1674" s="4"/>
    </row>
    <row r="1675" spans="5:27">
      <c r="E1675"/>
      <c r="AA1675" s="4"/>
    </row>
    <row r="1676" spans="5:27">
      <c r="E1676"/>
      <c r="AA1676" s="4"/>
    </row>
    <row r="1677" spans="5:27">
      <c r="E1677"/>
      <c r="AA1677" s="4"/>
    </row>
    <row r="1678" spans="5:27">
      <c r="E1678"/>
      <c r="AA1678" s="4"/>
    </row>
    <row r="1679" spans="5:27">
      <c r="E1679"/>
      <c r="AA1679" s="4"/>
    </row>
    <row r="1680" spans="5:27">
      <c r="E1680"/>
      <c r="AA1680" s="4"/>
    </row>
    <row r="1681" spans="5:27">
      <c r="E1681"/>
      <c r="AA1681" s="4"/>
    </row>
    <row r="1682" spans="5:27">
      <c r="E1682"/>
      <c r="AA1682" s="4"/>
    </row>
    <row r="1683" spans="5:27">
      <c r="E1683"/>
      <c r="AA1683" s="4"/>
    </row>
    <row r="1684" spans="5:27">
      <c r="E1684"/>
      <c r="AA1684" s="4"/>
    </row>
    <row r="1685" spans="5:27">
      <c r="E1685"/>
      <c r="AA1685" s="4"/>
    </row>
    <row r="1686" spans="5:27">
      <c r="E1686"/>
      <c r="AA1686" s="4"/>
    </row>
    <row r="1687" spans="5:27">
      <c r="E1687"/>
      <c r="AA1687" s="4"/>
    </row>
    <row r="1688" spans="5:27">
      <c r="E1688"/>
      <c r="AA1688" s="4"/>
    </row>
    <row r="1689" spans="5:27">
      <c r="E1689"/>
      <c r="AA1689" s="4"/>
    </row>
    <row r="1690" spans="5:27">
      <c r="E1690"/>
      <c r="AA1690" s="4"/>
    </row>
    <row r="1691" spans="5:27">
      <c r="E1691"/>
      <c r="AA1691" s="4"/>
    </row>
    <row r="1692" spans="5:27">
      <c r="E1692"/>
      <c r="AA1692" s="4"/>
    </row>
    <row r="1693" spans="5:27">
      <c r="E1693"/>
      <c r="AA1693" s="4"/>
    </row>
    <row r="1694" spans="5:27">
      <c r="E1694"/>
      <c r="AA1694" s="4"/>
    </row>
    <row r="1695" spans="5:27">
      <c r="E1695"/>
      <c r="AA1695" s="4"/>
    </row>
    <row r="1696" spans="5:27">
      <c r="E1696"/>
      <c r="AA1696" s="4"/>
    </row>
    <row r="1697" spans="5:27">
      <c r="E1697"/>
      <c r="AA1697" s="4"/>
    </row>
    <row r="1698" spans="5:27">
      <c r="E1698"/>
      <c r="AA1698" s="4"/>
    </row>
    <row r="1699" spans="5:27">
      <c r="E1699"/>
      <c r="AA1699" s="4"/>
    </row>
    <row r="1700" spans="5:27">
      <c r="E1700"/>
      <c r="AA1700" s="4"/>
    </row>
    <row r="1701" spans="5:27">
      <c r="E1701"/>
      <c r="AA1701" s="4"/>
    </row>
    <row r="1702" spans="5:27">
      <c r="E1702"/>
      <c r="AA1702" s="4"/>
    </row>
    <row r="1703" spans="5:27">
      <c r="E1703"/>
      <c r="AA1703" s="4"/>
    </row>
    <row r="1704" spans="5:27">
      <c r="E1704"/>
      <c r="AA1704" s="4"/>
    </row>
    <row r="1705" spans="5:27">
      <c r="E1705"/>
      <c r="AA1705" s="4"/>
    </row>
    <row r="1706" spans="5:27">
      <c r="E1706"/>
      <c r="AA1706" s="4"/>
    </row>
    <row r="1707" spans="5:27">
      <c r="E1707"/>
      <c r="AA1707" s="4"/>
    </row>
    <row r="1708" spans="5:27">
      <c r="E1708"/>
      <c r="AA1708" s="4"/>
    </row>
    <row r="1709" spans="5:27">
      <c r="E1709"/>
      <c r="AA1709" s="4"/>
    </row>
    <row r="1710" spans="5:27">
      <c r="E1710"/>
      <c r="AA1710" s="4"/>
    </row>
    <row r="1711" spans="5:27">
      <c r="E1711"/>
      <c r="AA1711" s="4"/>
    </row>
    <row r="1712" spans="5:27">
      <c r="E1712"/>
      <c r="AA1712" s="4"/>
    </row>
    <row r="1713" spans="5:27">
      <c r="E1713"/>
      <c r="AA1713" s="4"/>
    </row>
    <row r="1714" spans="5:27">
      <c r="E1714"/>
      <c r="AA1714" s="4"/>
    </row>
    <row r="1715" spans="5:27">
      <c r="E1715"/>
      <c r="AA1715" s="4"/>
    </row>
    <row r="1716" spans="5:27">
      <c r="E1716"/>
      <c r="AA1716" s="4"/>
    </row>
    <row r="1717" spans="5:27">
      <c r="E1717"/>
      <c r="AA1717" s="4"/>
    </row>
    <row r="1718" spans="5:27">
      <c r="E1718"/>
      <c r="AA1718" s="4"/>
    </row>
    <row r="1719" spans="5:27">
      <c r="E1719"/>
      <c r="AA1719" s="4"/>
    </row>
    <row r="1720" spans="5:27">
      <c r="E1720"/>
      <c r="AA1720" s="4"/>
    </row>
    <row r="1721" spans="5:27">
      <c r="E1721"/>
      <c r="AA1721" s="4"/>
    </row>
    <row r="1722" spans="5:27">
      <c r="E1722"/>
      <c r="AA1722" s="4"/>
    </row>
    <row r="1723" spans="5:27">
      <c r="E1723"/>
      <c r="AA1723" s="4"/>
    </row>
    <row r="1724" spans="5:27">
      <c r="E1724"/>
      <c r="AA1724" s="4"/>
    </row>
    <row r="1725" spans="5:27">
      <c r="E1725"/>
      <c r="AA1725" s="4"/>
    </row>
    <row r="1726" spans="5:27">
      <c r="E1726"/>
      <c r="AA1726" s="4"/>
    </row>
    <row r="1727" spans="5:27">
      <c r="E1727"/>
      <c r="AA1727" s="4"/>
    </row>
    <row r="1728" spans="5:27">
      <c r="E1728"/>
      <c r="AA1728" s="4"/>
    </row>
    <row r="1729" spans="5:27">
      <c r="E1729"/>
      <c r="AA1729" s="4"/>
    </row>
    <row r="1730" spans="5:27">
      <c r="E1730"/>
      <c r="AA1730" s="4"/>
    </row>
    <row r="1731" spans="5:27">
      <c r="E1731"/>
      <c r="AA1731" s="4"/>
    </row>
    <row r="1732" spans="5:27">
      <c r="E1732"/>
      <c r="AA1732" s="4"/>
    </row>
    <row r="1733" spans="5:27">
      <c r="E1733"/>
      <c r="AA1733" s="4"/>
    </row>
    <row r="1734" spans="5:27">
      <c r="E1734"/>
      <c r="AA1734" s="4"/>
    </row>
    <row r="1735" spans="5:27">
      <c r="E1735"/>
      <c r="AA1735" s="4"/>
    </row>
    <row r="1736" spans="5:27">
      <c r="E1736"/>
      <c r="AA1736" s="4"/>
    </row>
    <row r="1737" spans="5:27">
      <c r="E1737"/>
      <c r="AA1737" s="4"/>
    </row>
    <row r="1738" spans="5:27">
      <c r="E1738"/>
      <c r="AA1738" s="4"/>
    </row>
    <row r="1739" spans="5:27">
      <c r="E1739"/>
      <c r="AA1739" s="4"/>
    </row>
    <row r="1740" spans="5:27">
      <c r="E1740"/>
      <c r="AA1740" s="4"/>
    </row>
    <row r="1741" spans="5:27">
      <c r="E1741"/>
      <c r="AA1741" s="4"/>
    </row>
    <row r="1742" spans="5:27">
      <c r="E1742"/>
      <c r="AA1742" s="4"/>
    </row>
    <row r="1743" spans="5:27">
      <c r="E1743"/>
      <c r="AA1743" s="4"/>
    </row>
    <row r="1744" spans="5:27">
      <c r="E1744"/>
      <c r="AA1744" s="4"/>
    </row>
    <row r="1745" spans="5:27">
      <c r="E1745"/>
      <c r="AA1745" s="4"/>
    </row>
    <row r="1746" spans="5:27">
      <c r="E1746"/>
      <c r="AA1746" s="4"/>
    </row>
    <row r="1747" spans="5:27">
      <c r="E1747"/>
      <c r="AA1747" s="4"/>
    </row>
    <row r="1748" spans="5:27">
      <c r="E1748"/>
      <c r="AA1748" s="4"/>
    </row>
    <row r="1749" spans="5:27">
      <c r="E1749"/>
      <c r="AA1749" s="4"/>
    </row>
    <row r="1750" spans="5:27">
      <c r="E1750"/>
      <c r="AA1750" s="4"/>
    </row>
    <row r="1751" spans="5:27">
      <c r="E1751"/>
      <c r="AA1751" s="4"/>
    </row>
    <row r="1752" spans="5:27">
      <c r="E1752"/>
      <c r="AA1752" s="4"/>
    </row>
    <row r="1753" spans="5:27">
      <c r="E1753"/>
      <c r="AA1753" s="4"/>
    </row>
    <row r="1754" spans="5:27">
      <c r="E1754"/>
      <c r="AA1754" s="4"/>
    </row>
    <row r="1755" spans="5:27">
      <c r="E1755"/>
      <c r="AA1755" s="4"/>
    </row>
    <row r="1756" spans="5:27">
      <c r="E1756"/>
      <c r="AA1756" s="4"/>
    </row>
    <row r="1757" spans="5:27">
      <c r="E1757"/>
      <c r="AA1757" s="4"/>
    </row>
    <row r="1758" spans="5:27">
      <c r="E1758"/>
      <c r="AA1758" s="4"/>
    </row>
    <row r="1759" spans="5:27">
      <c r="E1759"/>
      <c r="AA1759" s="4"/>
    </row>
    <row r="1760" spans="5:27">
      <c r="E1760"/>
      <c r="AA1760" s="4"/>
    </row>
    <row r="1761" spans="5:27">
      <c r="E1761"/>
      <c r="AA1761" s="4"/>
    </row>
    <row r="1762" spans="5:27">
      <c r="E1762"/>
      <c r="AA1762" s="4"/>
    </row>
    <row r="1763" spans="5:27">
      <c r="E1763"/>
      <c r="AA1763" s="4"/>
    </row>
    <row r="1764" spans="5:27">
      <c r="E1764"/>
      <c r="AA1764" s="4"/>
    </row>
    <row r="1765" spans="5:27">
      <c r="E1765"/>
      <c r="AA1765" s="4"/>
    </row>
    <row r="1766" spans="5:27">
      <c r="E1766"/>
      <c r="AA1766" s="4"/>
    </row>
    <row r="1767" spans="5:27">
      <c r="E1767"/>
      <c r="AA1767" s="4"/>
    </row>
    <row r="1768" spans="5:27">
      <c r="E1768"/>
      <c r="AA1768" s="4"/>
    </row>
    <row r="1769" spans="5:27">
      <c r="E1769"/>
      <c r="AA1769" s="4"/>
    </row>
    <row r="1770" spans="5:27">
      <c r="E1770"/>
      <c r="AA1770" s="4"/>
    </row>
    <row r="1771" spans="5:27">
      <c r="E1771"/>
      <c r="AA1771" s="4"/>
    </row>
    <row r="1772" spans="5:27">
      <c r="E1772"/>
      <c r="AA1772" s="4"/>
    </row>
    <row r="1773" spans="5:27">
      <c r="E1773"/>
      <c r="AA1773" s="4"/>
    </row>
    <row r="1774" spans="5:27">
      <c r="E1774"/>
      <c r="AA1774" s="4"/>
    </row>
    <row r="1775" spans="5:27">
      <c r="E1775"/>
      <c r="AA1775" s="4"/>
    </row>
    <row r="1776" spans="5:27">
      <c r="E1776"/>
      <c r="AA1776" s="4"/>
    </row>
    <row r="1777" spans="5:27">
      <c r="E1777"/>
      <c r="AA1777" s="4"/>
    </row>
    <row r="1778" spans="5:27">
      <c r="E1778"/>
      <c r="AA1778" s="4"/>
    </row>
    <row r="1779" spans="5:27">
      <c r="E1779"/>
      <c r="AA1779" s="4"/>
    </row>
    <row r="1780" spans="5:27">
      <c r="E1780"/>
      <c r="AA1780" s="4"/>
    </row>
    <row r="1781" spans="5:27">
      <c r="E1781"/>
      <c r="AA1781" s="4"/>
    </row>
    <row r="1782" spans="5:27">
      <c r="E1782"/>
      <c r="AA1782" s="4"/>
    </row>
    <row r="1783" spans="5:27">
      <c r="E1783"/>
      <c r="AA1783" s="4"/>
    </row>
    <row r="1784" spans="5:27">
      <c r="E1784"/>
      <c r="AA1784" s="4"/>
    </row>
    <row r="1785" spans="5:27">
      <c r="E1785"/>
      <c r="AA1785" s="4"/>
    </row>
    <row r="1786" spans="5:27">
      <c r="E1786"/>
      <c r="AA1786" s="4"/>
    </row>
    <row r="1787" spans="5:27">
      <c r="E1787"/>
      <c r="AA1787" s="4"/>
    </row>
    <row r="1788" spans="5:27">
      <c r="E1788"/>
      <c r="AA1788" s="4"/>
    </row>
    <row r="1789" spans="5:27">
      <c r="E1789"/>
      <c r="AA1789" s="4"/>
    </row>
    <row r="1790" spans="5:27">
      <c r="E1790"/>
      <c r="AA1790" s="4"/>
    </row>
    <row r="1791" spans="5:27">
      <c r="E1791"/>
      <c r="AA1791" s="4"/>
    </row>
    <row r="1792" spans="5:27">
      <c r="E1792"/>
      <c r="AA1792" s="4"/>
    </row>
    <row r="1793" spans="5:27">
      <c r="E1793"/>
      <c r="AA1793" s="4"/>
    </row>
    <row r="1794" spans="5:27">
      <c r="E1794"/>
      <c r="AA1794" s="4"/>
    </row>
    <row r="1795" spans="5:27">
      <c r="E1795"/>
      <c r="AA1795" s="4"/>
    </row>
    <row r="1796" spans="5:27">
      <c r="E1796"/>
      <c r="AA1796" s="4"/>
    </row>
    <row r="1797" spans="5:27">
      <c r="E1797"/>
      <c r="AA1797" s="4"/>
    </row>
    <row r="1798" spans="5:27">
      <c r="E1798"/>
      <c r="AA1798" s="4"/>
    </row>
    <row r="1799" spans="5:27">
      <c r="E1799"/>
      <c r="AA1799" s="4"/>
    </row>
    <row r="1800" spans="5:27">
      <c r="E1800"/>
      <c r="AA1800" s="4"/>
    </row>
    <row r="1801" spans="5:27">
      <c r="E1801"/>
      <c r="AA1801" s="4"/>
    </row>
    <row r="1802" spans="5:27">
      <c r="E1802"/>
      <c r="AA1802" s="4"/>
    </row>
    <row r="1803" spans="5:27">
      <c r="E1803"/>
      <c r="AA1803" s="4"/>
    </row>
    <row r="1804" spans="5:27">
      <c r="E1804"/>
      <c r="AA1804" s="4"/>
    </row>
    <row r="1805" spans="5:27">
      <c r="E1805"/>
      <c r="AA1805" s="4"/>
    </row>
    <row r="1806" spans="5:27">
      <c r="E1806"/>
      <c r="AA1806" s="4"/>
    </row>
    <row r="1807" spans="5:27">
      <c r="E1807"/>
      <c r="AA1807" s="4"/>
    </row>
    <row r="1808" spans="5:27">
      <c r="E1808"/>
      <c r="AA1808" s="4"/>
    </row>
    <row r="1809" spans="5:27">
      <c r="E1809"/>
      <c r="AA1809" s="4"/>
    </row>
    <row r="1810" spans="5:27">
      <c r="E1810"/>
      <c r="AA1810" s="4"/>
    </row>
    <row r="1811" spans="5:27">
      <c r="E1811"/>
      <c r="AA1811" s="4"/>
    </row>
    <row r="1812" spans="5:27">
      <c r="E1812"/>
      <c r="AA1812" s="4"/>
    </row>
    <row r="1813" spans="5:27">
      <c r="E1813"/>
      <c r="AA1813" s="4"/>
    </row>
    <row r="1814" spans="5:27">
      <c r="E1814"/>
      <c r="AA1814" s="4"/>
    </row>
    <row r="1815" spans="5:27">
      <c r="E1815"/>
      <c r="AA1815" s="4"/>
    </row>
    <row r="1816" spans="5:27">
      <c r="E1816"/>
      <c r="AA1816" s="4"/>
    </row>
    <row r="1817" spans="5:27">
      <c r="E1817"/>
      <c r="AA1817" s="4"/>
    </row>
    <row r="1818" spans="5:27">
      <c r="E1818"/>
      <c r="AA1818" s="4"/>
    </row>
    <row r="1819" spans="5:27">
      <c r="E1819"/>
      <c r="AA1819" s="4"/>
    </row>
    <row r="1820" spans="5:27">
      <c r="E1820"/>
      <c r="AA1820" s="4"/>
    </row>
    <row r="1821" spans="5:27">
      <c r="E1821"/>
      <c r="AA1821" s="4"/>
    </row>
    <row r="1822" spans="5:27">
      <c r="E1822"/>
      <c r="AA1822" s="4"/>
    </row>
    <row r="1823" spans="5:27">
      <c r="E1823"/>
      <c r="AA1823" s="4"/>
    </row>
    <row r="1824" spans="5:27">
      <c r="E1824"/>
      <c r="AA1824" s="4"/>
    </row>
    <row r="1825" spans="5:27">
      <c r="E1825"/>
      <c r="AA1825" s="4"/>
    </row>
    <row r="1826" spans="5:27">
      <c r="E1826"/>
      <c r="AA1826" s="4"/>
    </row>
    <row r="1827" spans="5:27">
      <c r="E1827"/>
      <c r="AA1827" s="4"/>
    </row>
    <row r="1828" spans="5:27">
      <c r="E1828"/>
      <c r="AA1828" s="4"/>
    </row>
    <row r="1829" spans="5:27">
      <c r="E1829"/>
      <c r="AA1829" s="4"/>
    </row>
    <row r="1830" spans="5:27">
      <c r="E1830"/>
      <c r="AA1830" s="4"/>
    </row>
    <row r="1831" spans="5:27">
      <c r="E1831"/>
      <c r="AA1831" s="4"/>
    </row>
    <row r="1832" spans="5:27">
      <c r="E1832"/>
      <c r="AA1832" s="4"/>
    </row>
    <row r="1833" spans="5:27">
      <c r="E1833"/>
      <c r="AA1833" s="4"/>
    </row>
    <row r="1834" spans="5:27">
      <c r="E1834"/>
      <c r="AA1834" s="4"/>
    </row>
    <row r="1835" spans="5:27">
      <c r="E1835"/>
      <c r="AA1835" s="4"/>
    </row>
    <row r="1836" spans="5:27">
      <c r="E1836"/>
      <c r="AA1836" s="4"/>
    </row>
    <row r="1837" spans="5:27">
      <c r="E1837"/>
      <c r="AA1837" s="4"/>
    </row>
    <row r="1838" spans="5:27">
      <c r="E1838"/>
      <c r="AA1838" s="4"/>
    </row>
    <row r="1839" spans="5:27">
      <c r="E1839"/>
      <c r="AA1839" s="4"/>
    </row>
    <row r="1840" spans="5:27">
      <c r="E1840"/>
      <c r="AA1840" s="4"/>
    </row>
    <row r="1841" spans="5:27">
      <c r="E1841"/>
      <c r="AA1841" s="4"/>
    </row>
    <row r="1842" spans="5:27">
      <c r="E1842"/>
      <c r="AA1842" s="4"/>
    </row>
    <row r="1843" spans="5:27">
      <c r="E1843"/>
      <c r="AA1843" s="4"/>
    </row>
    <row r="1844" spans="5:27">
      <c r="E1844"/>
      <c r="AA1844" s="4"/>
    </row>
    <row r="1845" spans="5:27">
      <c r="E1845"/>
      <c r="AA1845" s="4"/>
    </row>
    <row r="1846" spans="5:27">
      <c r="E1846"/>
      <c r="AA1846" s="4"/>
    </row>
    <row r="1847" spans="5:27">
      <c r="E1847"/>
      <c r="AA1847" s="4"/>
    </row>
    <row r="1848" spans="5:27">
      <c r="E1848"/>
      <c r="AA1848" s="4"/>
    </row>
    <row r="1849" spans="5:27">
      <c r="E1849"/>
      <c r="AA1849" s="4"/>
    </row>
    <row r="1850" spans="5:27">
      <c r="E1850"/>
      <c r="AA1850" s="4"/>
    </row>
    <row r="1851" spans="5:27">
      <c r="E1851"/>
      <c r="AA1851" s="4"/>
    </row>
    <row r="1852" spans="5:27">
      <c r="E1852"/>
      <c r="AA1852" s="4"/>
    </row>
    <row r="1853" spans="5:27">
      <c r="E1853"/>
      <c r="AA1853" s="4"/>
    </row>
    <row r="1854" spans="5:27">
      <c r="E1854"/>
      <c r="AA1854" s="4"/>
    </row>
    <row r="1855" spans="5:27">
      <c r="E1855"/>
      <c r="AA1855" s="4"/>
    </row>
    <row r="1856" spans="5:27">
      <c r="E1856"/>
      <c r="AA1856" s="4"/>
    </row>
    <row r="1857" spans="5:27">
      <c r="E1857"/>
      <c r="AA1857" s="4"/>
    </row>
    <row r="1858" spans="5:27">
      <c r="E1858"/>
      <c r="AA1858" s="4"/>
    </row>
    <row r="1859" spans="5:27">
      <c r="E1859"/>
      <c r="AA1859" s="4"/>
    </row>
    <row r="1860" spans="5:27">
      <c r="E1860"/>
      <c r="AA1860" s="4"/>
    </row>
    <row r="1861" spans="5:27">
      <c r="E1861"/>
      <c r="AA1861" s="4"/>
    </row>
    <row r="1862" spans="5:27">
      <c r="E1862"/>
      <c r="AA1862" s="4"/>
    </row>
    <row r="1863" spans="5:27">
      <c r="E1863"/>
      <c r="AA1863" s="4"/>
    </row>
    <row r="1864" spans="5:27">
      <c r="E1864"/>
      <c r="AA1864" s="4"/>
    </row>
    <row r="1865" spans="5:27">
      <c r="E1865"/>
      <c r="AA1865" s="4"/>
    </row>
    <row r="1866" spans="5:27">
      <c r="E1866"/>
      <c r="AA1866" s="4"/>
    </row>
    <row r="1867" spans="5:27">
      <c r="E1867"/>
      <c r="AA1867" s="4"/>
    </row>
    <row r="1868" spans="5:27">
      <c r="E1868"/>
      <c r="AA1868" s="4"/>
    </row>
    <row r="1869" spans="5:27">
      <c r="E1869"/>
      <c r="AA1869" s="4"/>
    </row>
    <row r="1870" spans="5:27">
      <c r="E1870"/>
      <c r="AA1870" s="4"/>
    </row>
    <row r="1871" spans="5:27">
      <c r="E1871"/>
      <c r="AA1871" s="4"/>
    </row>
    <row r="1872" spans="5:27">
      <c r="E1872"/>
      <c r="AA1872" s="4"/>
    </row>
    <row r="1873" spans="5:27">
      <c r="E1873"/>
      <c r="AA1873" s="4"/>
    </row>
    <row r="1874" spans="5:27">
      <c r="E1874"/>
      <c r="AA1874" s="4"/>
    </row>
    <row r="1875" spans="5:27">
      <c r="E1875"/>
      <c r="AA1875" s="4"/>
    </row>
    <row r="1876" spans="5:27">
      <c r="E1876"/>
      <c r="AA1876" s="4"/>
    </row>
    <row r="1877" spans="5:27">
      <c r="E1877"/>
      <c r="AA1877" s="4"/>
    </row>
    <row r="1878" spans="5:27">
      <c r="E1878"/>
      <c r="AA1878" s="4"/>
    </row>
    <row r="1879" spans="5:27">
      <c r="E1879"/>
      <c r="AA1879" s="4"/>
    </row>
    <row r="1880" spans="5:27">
      <c r="E1880"/>
      <c r="AA1880" s="4"/>
    </row>
    <row r="1881" spans="5:27">
      <c r="E1881"/>
      <c r="AA1881" s="4"/>
    </row>
    <row r="1882" spans="5:27">
      <c r="E1882"/>
      <c r="AA1882" s="4"/>
    </row>
    <row r="1883" spans="5:27">
      <c r="E1883"/>
      <c r="AA1883" s="4"/>
    </row>
    <row r="1884" spans="5:27">
      <c r="E1884"/>
      <c r="AA1884" s="4"/>
    </row>
    <row r="1885" spans="5:27">
      <c r="E1885"/>
      <c r="AA1885" s="4"/>
    </row>
    <row r="1886" spans="5:27">
      <c r="E1886"/>
      <c r="AA1886" s="4"/>
    </row>
    <row r="1887" spans="5:27">
      <c r="E1887"/>
      <c r="AA1887" s="4"/>
    </row>
    <row r="1888" spans="5:27">
      <c r="E1888"/>
      <c r="AA1888" s="4"/>
    </row>
    <row r="1889" spans="5:27">
      <c r="E1889"/>
      <c r="AA1889" s="4"/>
    </row>
    <row r="1890" spans="5:27">
      <c r="E1890"/>
      <c r="AA1890" s="4"/>
    </row>
    <row r="1891" spans="5:27">
      <c r="E1891"/>
      <c r="AA1891" s="4"/>
    </row>
    <row r="1892" spans="5:27">
      <c r="E1892"/>
      <c r="AA1892" s="4"/>
    </row>
    <row r="1893" spans="5:27">
      <c r="E1893"/>
      <c r="AA1893" s="4"/>
    </row>
    <row r="1894" spans="5:27">
      <c r="E1894"/>
      <c r="AA1894" s="4"/>
    </row>
    <row r="1895" spans="5:27">
      <c r="E1895"/>
      <c r="AA1895" s="4"/>
    </row>
    <row r="1896" spans="5:27">
      <c r="E1896"/>
      <c r="AA1896" s="4"/>
    </row>
    <row r="1897" spans="5:27">
      <c r="E1897"/>
      <c r="AA1897" s="4"/>
    </row>
    <row r="1898" spans="5:27">
      <c r="E1898"/>
      <c r="AA1898" s="4"/>
    </row>
    <row r="1899" spans="5:27">
      <c r="E1899"/>
      <c r="AA1899" s="4"/>
    </row>
    <row r="1900" spans="5:27">
      <c r="E1900"/>
      <c r="AA1900" s="4"/>
    </row>
    <row r="1901" spans="5:27">
      <c r="E1901"/>
      <c r="AA1901" s="4"/>
    </row>
    <row r="1902" spans="5:27">
      <c r="E1902"/>
      <c r="AA1902" s="4"/>
    </row>
    <row r="1903" spans="5:27">
      <c r="E1903"/>
      <c r="AA1903" s="4"/>
    </row>
    <row r="1904" spans="5:27">
      <c r="E1904"/>
      <c r="AA1904" s="4"/>
    </row>
    <row r="1905" spans="5:27">
      <c r="E1905"/>
      <c r="AA1905" s="4"/>
    </row>
    <row r="1906" spans="5:27">
      <c r="E1906"/>
      <c r="AA1906" s="4"/>
    </row>
    <row r="1907" spans="5:27">
      <c r="E1907"/>
      <c r="AA1907" s="4"/>
    </row>
    <row r="1908" spans="5:27">
      <c r="E1908"/>
      <c r="AA1908" s="4"/>
    </row>
    <row r="1909" spans="5:27">
      <c r="E1909"/>
      <c r="AA1909" s="4"/>
    </row>
    <row r="1910" spans="5:27">
      <c r="E1910"/>
      <c r="AA1910" s="4"/>
    </row>
    <row r="1911" spans="5:27">
      <c r="E1911"/>
      <c r="AA1911" s="4"/>
    </row>
    <row r="1912" spans="5:27">
      <c r="E1912"/>
      <c r="AA1912" s="4"/>
    </row>
    <row r="1913" spans="5:27">
      <c r="E1913"/>
      <c r="AA1913" s="4"/>
    </row>
    <row r="1914" spans="5:27">
      <c r="E1914"/>
      <c r="AA1914" s="4"/>
    </row>
    <row r="1915" spans="5:27">
      <c r="E1915"/>
      <c r="AA1915" s="4"/>
    </row>
    <row r="1916" spans="5:27">
      <c r="E1916"/>
      <c r="AA1916" s="4"/>
    </row>
    <row r="1917" spans="5:27">
      <c r="E1917"/>
      <c r="AA1917" s="4"/>
    </row>
    <row r="1918" spans="5:27">
      <c r="E1918"/>
      <c r="AA1918" s="4"/>
    </row>
    <row r="1919" spans="5:27">
      <c r="E1919"/>
      <c r="AA1919" s="4"/>
    </row>
    <row r="1920" spans="5:27">
      <c r="E1920"/>
      <c r="AA1920" s="4"/>
    </row>
    <row r="1921" spans="5:27">
      <c r="E1921"/>
      <c r="AA1921" s="4"/>
    </row>
    <row r="1922" spans="5:27">
      <c r="E1922"/>
      <c r="AA1922" s="4"/>
    </row>
    <row r="1923" spans="5:27">
      <c r="E1923"/>
      <c r="AA1923" s="4"/>
    </row>
    <row r="1924" spans="5:27">
      <c r="E1924"/>
      <c r="AA1924" s="4"/>
    </row>
    <row r="1925" spans="5:27">
      <c r="E1925"/>
      <c r="AA1925" s="4"/>
    </row>
    <row r="1926" spans="5:27">
      <c r="E1926"/>
      <c r="AA1926" s="4"/>
    </row>
    <row r="1927" spans="5:27">
      <c r="E1927"/>
      <c r="AA1927" s="4"/>
    </row>
    <row r="1928" spans="5:27">
      <c r="E1928"/>
      <c r="AA1928" s="4"/>
    </row>
    <row r="1929" spans="5:27">
      <c r="E1929"/>
      <c r="AA1929" s="4"/>
    </row>
    <row r="1930" spans="5:27">
      <c r="E1930"/>
      <c r="AA1930" s="4"/>
    </row>
    <row r="1931" spans="5:27">
      <c r="E1931"/>
      <c r="AA1931" s="4"/>
    </row>
    <row r="1932" spans="5:27">
      <c r="E1932"/>
      <c r="AA1932" s="4"/>
    </row>
    <row r="1933" spans="5:27">
      <c r="E1933"/>
      <c r="AA1933" s="4"/>
    </row>
    <row r="1934" spans="5:27">
      <c r="E1934"/>
      <c r="AA1934" s="4"/>
    </row>
    <row r="1935" spans="5:27">
      <c r="E1935"/>
      <c r="AA1935" s="4"/>
    </row>
    <row r="1936" spans="5:27">
      <c r="E1936"/>
      <c r="AA1936" s="4"/>
    </row>
    <row r="1937" spans="5:27">
      <c r="E1937"/>
      <c r="AA1937" s="4"/>
    </row>
    <row r="1938" spans="5:27">
      <c r="E1938"/>
      <c r="AA1938" s="4"/>
    </row>
    <row r="1939" spans="5:27">
      <c r="E1939"/>
      <c r="AA1939" s="4"/>
    </row>
    <row r="1940" spans="5:27">
      <c r="E1940"/>
      <c r="AA1940" s="4"/>
    </row>
    <row r="1941" spans="5:27">
      <c r="E1941"/>
      <c r="AA1941" s="4"/>
    </row>
    <row r="1942" spans="5:27">
      <c r="E1942"/>
      <c r="AA1942" s="4"/>
    </row>
    <row r="1943" spans="5:27">
      <c r="E1943"/>
      <c r="AA1943" s="4"/>
    </row>
    <row r="1944" spans="5:27">
      <c r="E1944"/>
      <c r="AA1944" s="4"/>
    </row>
    <row r="1945" spans="5:27">
      <c r="E1945"/>
      <c r="AA1945" s="4"/>
    </row>
    <row r="1946" spans="5:27">
      <c r="E1946"/>
      <c r="AA1946" s="4"/>
    </row>
    <row r="1947" spans="5:27">
      <c r="E1947"/>
      <c r="AA1947" s="4"/>
    </row>
    <row r="1948" spans="5:27">
      <c r="E1948"/>
      <c r="AA1948" s="4"/>
    </row>
    <row r="1949" spans="5:27">
      <c r="E1949"/>
      <c r="AA1949" s="4"/>
    </row>
    <row r="1950" spans="5:27">
      <c r="E1950"/>
      <c r="AA1950" s="4"/>
    </row>
    <row r="1951" spans="5:27">
      <c r="E1951"/>
      <c r="AA1951" s="4"/>
    </row>
    <row r="1952" spans="5:27">
      <c r="E1952"/>
      <c r="AA1952" s="4"/>
    </row>
    <row r="1953" spans="5:27">
      <c r="E1953"/>
      <c r="AA1953" s="4"/>
    </row>
    <row r="1954" spans="5:27">
      <c r="E1954"/>
      <c r="AA1954" s="4"/>
    </row>
    <row r="1955" spans="5:27">
      <c r="E1955"/>
      <c r="AA1955" s="4"/>
    </row>
    <row r="1956" spans="5:27">
      <c r="E1956"/>
      <c r="AA1956" s="4"/>
    </row>
    <row r="1957" spans="5:27">
      <c r="E1957"/>
      <c r="AA1957" s="4"/>
    </row>
    <row r="1958" spans="5:27">
      <c r="E1958"/>
      <c r="AA1958" s="4"/>
    </row>
    <row r="1959" spans="5:27">
      <c r="E1959"/>
      <c r="AA1959" s="4"/>
    </row>
    <row r="1960" spans="5:27">
      <c r="E1960"/>
      <c r="AA1960" s="4"/>
    </row>
    <row r="1961" spans="5:27">
      <c r="E1961"/>
      <c r="AA1961" s="4"/>
    </row>
    <row r="1962" spans="5:27">
      <c r="E1962"/>
      <c r="AA1962" s="4"/>
    </row>
    <row r="1963" spans="5:27">
      <c r="E1963"/>
      <c r="AA1963" s="4"/>
    </row>
    <row r="1964" spans="5:27">
      <c r="E1964"/>
      <c r="AA1964" s="4"/>
    </row>
    <row r="1965" spans="5:27">
      <c r="E1965"/>
      <c r="AA1965" s="4"/>
    </row>
    <row r="1966" spans="5:27">
      <c r="E1966"/>
      <c r="AA1966" s="4"/>
    </row>
    <row r="1967" spans="5:27">
      <c r="E1967"/>
      <c r="AA1967" s="4"/>
    </row>
    <row r="1968" spans="5:27">
      <c r="E1968"/>
      <c r="AA1968" s="4"/>
    </row>
    <row r="1969" spans="5:27">
      <c r="E1969"/>
      <c r="AA1969" s="4"/>
    </row>
    <row r="1970" spans="5:27">
      <c r="E1970"/>
      <c r="AA1970" s="4"/>
    </row>
    <row r="1971" spans="5:27">
      <c r="E1971"/>
      <c r="AA1971" s="4"/>
    </row>
    <row r="1972" spans="5:27">
      <c r="E1972"/>
      <c r="AA1972" s="4"/>
    </row>
    <row r="1973" spans="5:27">
      <c r="E1973"/>
      <c r="AA1973" s="4"/>
    </row>
    <row r="1974" spans="5:27">
      <c r="E1974"/>
      <c r="AA1974" s="4"/>
    </row>
    <row r="1975" spans="5:27">
      <c r="E1975"/>
      <c r="AA1975" s="4"/>
    </row>
    <row r="1976" spans="5:27">
      <c r="E1976"/>
      <c r="AA1976" s="4"/>
    </row>
    <row r="1977" spans="5:27">
      <c r="E1977"/>
      <c r="AA1977" s="4"/>
    </row>
    <row r="1978" spans="5:27">
      <c r="E1978"/>
      <c r="AA1978" s="4"/>
    </row>
    <row r="1979" spans="5:27">
      <c r="E1979"/>
      <c r="AA1979" s="4"/>
    </row>
    <row r="1980" spans="5:27">
      <c r="E1980"/>
      <c r="AA1980" s="4"/>
    </row>
    <row r="1981" spans="5:27">
      <c r="E1981"/>
      <c r="AA1981" s="4"/>
    </row>
    <row r="1982" spans="5:27">
      <c r="E1982"/>
      <c r="AA1982" s="4"/>
    </row>
    <row r="1983" spans="5:27">
      <c r="E1983"/>
      <c r="AA1983" s="4"/>
    </row>
    <row r="1984" spans="5:27">
      <c r="E1984"/>
      <c r="AA1984" s="4"/>
    </row>
    <row r="1985" spans="5:27">
      <c r="E1985"/>
      <c r="AA1985" s="4"/>
    </row>
    <row r="1986" spans="5:27">
      <c r="E1986"/>
      <c r="AA1986" s="4"/>
    </row>
    <row r="1987" spans="5:27">
      <c r="E1987"/>
      <c r="AA1987" s="4"/>
    </row>
    <row r="1988" spans="5:27">
      <c r="E1988"/>
      <c r="AA1988" s="4"/>
    </row>
    <row r="1989" spans="5:27">
      <c r="E1989"/>
      <c r="AA1989" s="4"/>
    </row>
    <row r="1990" spans="5:27">
      <c r="E1990"/>
      <c r="AA1990" s="4"/>
    </row>
    <row r="1991" spans="5:27">
      <c r="E1991"/>
      <c r="AA1991" s="4"/>
    </row>
    <row r="1992" spans="5:27">
      <c r="E1992"/>
      <c r="AA1992" s="4"/>
    </row>
    <row r="1993" spans="5:27">
      <c r="E1993"/>
      <c r="AA1993" s="4"/>
    </row>
    <row r="1994" spans="5:27">
      <c r="E1994"/>
      <c r="AA1994" s="4"/>
    </row>
    <row r="1995" spans="5:27">
      <c r="E1995"/>
      <c r="AA1995" s="4"/>
    </row>
    <row r="1996" spans="5:27">
      <c r="E1996"/>
      <c r="AA1996" s="4"/>
    </row>
    <row r="1997" spans="5:27">
      <c r="E1997"/>
      <c r="AA1997" s="4"/>
    </row>
    <row r="1998" spans="5:27">
      <c r="E1998"/>
      <c r="AA1998" s="4"/>
    </row>
    <row r="1999" spans="5:27">
      <c r="E1999"/>
      <c r="AA1999" s="4"/>
    </row>
    <row r="2000" spans="5:27">
      <c r="E2000"/>
      <c r="AA2000" s="4"/>
    </row>
    <row r="2001" spans="5:27">
      <c r="E2001"/>
      <c r="AA2001" s="4"/>
    </row>
    <row r="2002" spans="5:27">
      <c r="E2002"/>
      <c r="AA2002" s="4"/>
    </row>
    <row r="2003" spans="5:27">
      <c r="E2003"/>
      <c r="AA2003" s="4"/>
    </row>
    <row r="2004" spans="5:27">
      <c r="E2004"/>
      <c r="AA2004" s="4"/>
    </row>
    <row r="2005" spans="5:27">
      <c r="E2005"/>
      <c r="AA2005" s="4"/>
    </row>
    <row r="2006" spans="5:27">
      <c r="E2006"/>
      <c r="AA2006" s="4"/>
    </row>
    <row r="2007" spans="5:27">
      <c r="E2007"/>
      <c r="AA2007" s="4"/>
    </row>
    <row r="2008" spans="5:27">
      <c r="E2008"/>
      <c r="AA2008" s="4"/>
    </row>
    <row r="2009" spans="5:27">
      <c r="E2009"/>
      <c r="AA2009" s="4"/>
    </row>
    <row r="2010" spans="5:27">
      <c r="E2010"/>
      <c r="AA2010" s="4"/>
    </row>
    <row r="2011" spans="5:27">
      <c r="E2011"/>
      <c r="AA2011" s="4"/>
    </row>
    <row r="2012" spans="5:27">
      <c r="E2012"/>
      <c r="AA2012" s="4"/>
    </row>
    <row r="2013" spans="5:27">
      <c r="E2013"/>
      <c r="AA2013" s="4"/>
    </row>
    <row r="2014" spans="5:27">
      <c r="E2014"/>
      <c r="AA2014" s="4"/>
    </row>
    <row r="2015" spans="5:27">
      <c r="E2015"/>
      <c r="AA2015" s="4"/>
    </row>
    <row r="2016" spans="5:27">
      <c r="E2016"/>
      <c r="AA2016" s="4"/>
    </row>
    <row r="2017" spans="5:27">
      <c r="E2017"/>
      <c r="AA2017" s="4"/>
    </row>
    <row r="2018" spans="5:27">
      <c r="E2018"/>
      <c r="AA2018" s="4"/>
    </row>
    <row r="2019" spans="5:27">
      <c r="E2019"/>
      <c r="AA2019" s="4"/>
    </row>
    <row r="2020" spans="5:27">
      <c r="E2020"/>
      <c r="AA2020" s="4"/>
    </row>
    <row r="2021" spans="5:27">
      <c r="E2021"/>
      <c r="AA2021" s="4"/>
    </row>
    <row r="2022" spans="5:27">
      <c r="E2022"/>
      <c r="AA2022" s="4"/>
    </row>
    <row r="2023" spans="5:27">
      <c r="E2023"/>
      <c r="AA2023" s="4"/>
    </row>
    <row r="2024" spans="5:27">
      <c r="E2024"/>
      <c r="AA2024" s="4"/>
    </row>
    <row r="2025" spans="5:27">
      <c r="E2025"/>
      <c r="AA2025" s="4"/>
    </row>
    <row r="2026" spans="5:27">
      <c r="E2026"/>
      <c r="AA2026" s="4"/>
    </row>
    <row r="2027" spans="5:27">
      <c r="E2027"/>
      <c r="AA2027" s="4"/>
    </row>
    <row r="2028" spans="5:27">
      <c r="E2028"/>
      <c r="AA2028" s="4"/>
    </row>
    <row r="2029" spans="5:27">
      <c r="E2029"/>
      <c r="AA2029" s="4"/>
    </row>
    <row r="2030" spans="5:27">
      <c r="E2030"/>
      <c r="AA2030" s="4"/>
    </row>
    <row r="2031" spans="5:27">
      <c r="E2031"/>
      <c r="AA2031" s="4"/>
    </row>
    <row r="2032" spans="5:27">
      <c r="E2032"/>
      <c r="AA2032" s="4"/>
    </row>
    <row r="2033" spans="5:27">
      <c r="E2033"/>
      <c r="AA2033" s="4"/>
    </row>
    <row r="2034" spans="5:27">
      <c r="E2034"/>
      <c r="AA2034" s="4"/>
    </row>
    <row r="2035" spans="5:27">
      <c r="E2035"/>
      <c r="AA2035" s="4"/>
    </row>
    <row r="2036" spans="5:27">
      <c r="E2036"/>
      <c r="AA2036" s="4"/>
    </row>
    <row r="2037" spans="5:27">
      <c r="E2037"/>
      <c r="AA2037" s="4"/>
    </row>
    <row r="2038" spans="5:27">
      <c r="E2038"/>
      <c r="AA2038" s="4"/>
    </row>
    <row r="2039" spans="5:27">
      <c r="E2039"/>
      <c r="AA2039" s="4"/>
    </row>
    <row r="2040" spans="5:27">
      <c r="E2040"/>
      <c r="AA2040" s="4"/>
    </row>
    <row r="2041" spans="5:27">
      <c r="E2041"/>
      <c r="AA2041" s="4"/>
    </row>
    <row r="2042" spans="5:27">
      <c r="E2042"/>
      <c r="AA2042" s="4"/>
    </row>
    <row r="2043" spans="5:27">
      <c r="E2043"/>
      <c r="AA2043" s="4"/>
    </row>
    <row r="2044" spans="5:27">
      <c r="E2044"/>
      <c r="AA2044" s="4"/>
    </row>
    <row r="2045" spans="5:27">
      <c r="E2045"/>
      <c r="AA2045" s="4"/>
    </row>
    <row r="2046" spans="5:27">
      <c r="E2046"/>
      <c r="AA2046" s="4"/>
    </row>
    <row r="2047" spans="5:27">
      <c r="E2047"/>
      <c r="AA2047" s="4"/>
    </row>
    <row r="2048" spans="5:27">
      <c r="E2048"/>
      <c r="AA2048" s="4"/>
    </row>
    <row r="2049" spans="5:27">
      <c r="E2049"/>
      <c r="AA2049" s="4"/>
    </row>
    <row r="2050" spans="5:27">
      <c r="E2050"/>
      <c r="AA2050" s="4"/>
    </row>
    <row r="2051" spans="5:27">
      <c r="E2051"/>
      <c r="AA2051" s="4"/>
    </row>
    <row r="2052" spans="5:27">
      <c r="E2052"/>
      <c r="AA2052" s="4"/>
    </row>
    <row r="2053" spans="5:27">
      <c r="E2053"/>
      <c r="AA2053" s="4"/>
    </row>
    <row r="2054" spans="5:27">
      <c r="E2054"/>
      <c r="AA2054" s="4"/>
    </row>
    <row r="2055" spans="5:27">
      <c r="E2055"/>
      <c r="AA2055" s="4"/>
    </row>
    <row r="2056" spans="5:27">
      <c r="E2056"/>
      <c r="AA2056" s="4"/>
    </row>
    <row r="2057" spans="5:27">
      <c r="E2057"/>
      <c r="AA2057" s="4"/>
    </row>
    <row r="2058" spans="5:27">
      <c r="E2058"/>
      <c r="AA2058" s="4"/>
    </row>
    <row r="2059" spans="5:27">
      <c r="E2059"/>
      <c r="AA2059" s="4"/>
    </row>
    <row r="2060" spans="5:27">
      <c r="E2060"/>
      <c r="AA2060" s="4"/>
    </row>
    <row r="2061" spans="5:27">
      <c r="E2061"/>
      <c r="AA2061" s="4"/>
    </row>
    <row r="2062" spans="5:27">
      <c r="E2062"/>
      <c r="AA2062" s="4"/>
    </row>
    <row r="2063" spans="5:27">
      <c r="E2063"/>
      <c r="AA2063" s="4"/>
    </row>
    <row r="2064" spans="5:27">
      <c r="E2064"/>
      <c r="AA2064" s="4"/>
    </row>
    <row r="2065" spans="5:27">
      <c r="E2065"/>
      <c r="AA2065" s="4"/>
    </row>
    <row r="2066" spans="5:27">
      <c r="E2066"/>
      <c r="AA2066" s="4"/>
    </row>
    <row r="2067" spans="5:27">
      <c r="E2067"/>
      <c r="AA2067" s="4"/>
    </row>
    <row r="2068" spans="5:27">
      <c r="E2068"/>
      <c r="AA2068" s="4"/>
    </row>
    <row r="2069" spans="5:27">
      <c r="E2069"/>
      <c r="AA2069" s="4"/>
    </row>
    <row r="2070" spans="5:27">
      <c r="E2070"/>
      <c r="AA2070" s="4"/>
    </row>
    <row r="2071" spans="5:27">
      <c r="E2071"/>
      <c r="AA2071" s="4"/>
    </row>
    <row r="2072" spans="5:27">
      <c r="E2072"/>
      <c r="AA2072" s="4"/>
    </row>
    <row r="2073" spans="5:27">
      <c r="E2073"/>
      <c r="AA2073" s="4"/>
    </row>
    <row r="2074" spans="5:27">
      <c r="E2074"/>
      <c r="AA2074" s="4"/>
    </row>
    <row r="2075" spans="5:27">
      <c r="E2075"/>
      <c r="AA2075" s="4"/>
    </row>
    <row r="2076" spans="5:27">
      <c r="E2076"/>
      <c r="AA2076" s="4"/>
    </row>
    <row r="2077" spans="5:27">
      <c r="E2077"/>
      <c r="AA2077" s="4"/>
    </row>
    <row r="2078" spans="5:27">
      <c r="E2078"/>
      <c r="AA2078" s="4"/>
    </row>
    <row r="2079" spans="5:27">
      <c r="E2079"/>
      <c r="AA2079" s="4"/>
    </row>
    <row r="2080" spans="5:27">
      <c r="E2080"/>
      <c r="AA2080" s="4"/>
    </row>
    <row r="2081" spans="5:27">
      <c r="E2081"/>
      <c r="AA2081" s="4"/>
    </row>
    <row r="2082" spans="5:27">
      <c r="E2082"/>
      <c r="AA2082" s="4"/>
    </row>
    <row r="2083" spans="5:27">
      <c r="E2083"/>
      <c r="AA2083" s="4"/>
    </row>
    <row r="2084" spans="5:27">
      <c r="E2084"/>
      <c r="AA2084" s="4"/>
    </row>
    <row r="2085" spans="5:27">
      <c r="E2085"/>
      <c r="AA2085" s="4"/>
    </row>
    <row r="2086" spans="5:27">
      <c r="E2086"/>
      <c r="AA2086" s="4"/>
    </row>
    <row r="2087" spans="5:27">
      <c r="E2087"/>
      <c r="AA2087" s="4"/>
    </row>
    <row r="2088" spans="5:27">
      <c r="E2088"/>
      <c r="AA2088" s="4"/>
    </row>
    <row r="2089" spans="5:27">
      <c r="E2089"/>
      <c r="AA2089" s="4"/>
    </row>
    <row r="2090" spans="5:27">
      <c r="E2090"/>
      <c r="AA2090" s="4"/>
    </row>
    <row r="2091" spans="5:27">
      <c r="E2091"/>
      <c r="AA2091" s="4"/>
    </row>
    <row r="2092" spans="5:27">
      <c r="E2092"/>
      <c r="AA2092" s="4"/>
    </row>
    <row r="2093" spans="5:27">
      <c r="E2093"/>
      <c r="AA2093" s="4"/>
    </row>
    <row r="2094" spans="5:27">
      <c r="E2094"/>
      <c r="AA2094" s="4"/>
    </row>
    <row r="2095" spans="5:27">
      <c r="E2095"/>
      <c r="AA2095" s="4"/>
    </row>
    <row r="2096" spans="5:27">
      <c r="E2096"/>
      <c r="AA2096" s="4"/>
    </row>
    <row r="2097" spans="5:27">
      <c r="E2097"/>
      <c r="AA2097" s="4"/>
    </row>
    <row r="2098" spans="5:27">
      <c r="E2098"/>
      <c r="AA2098" s="4"/>
    </row>
    <row r="2099" spans="5:27">
      <c r="E2099"/>
      <c r="AA2099" s="4"/>
    </row>
    <row r="2100" spans="5:27">
      <c r="E2100"/>
      <c r="AA2100" s="4"/>
    </row>
    <row r="2101" spans="5:27">
      <c r="E2101"/>
      <c r="AA2101" s="4"/>
    </row>
    <row r="2102" spans="5:27">
      <c r="E2102"/>
      <c r="AA2102" s="4"/>
    </row>
    <row r="2103" spans="5:27">
      <c r="E2103"/>
      <c r="AA2103" s="4"/>
    </row>
    <row r="2104" spans="5:27">
      <c r="E2104"/>
      <c r="AA2104" s="4"/>
    </row>
    <row r="2105" spans="5:27">
      <c r="E2105"/>
      <c r="AA2105" s="4"/>
    </row>
    <row r="2106" spans="5:27">
      <c r="E2106"/>
      <c r="AA2106" s="4"/>
    </row>
    <row r="2107" spans="5:27">
      <c r="E2107"/>
      <c r="AA2107" s="4"/>
    </row>
    <row r="2108" spans="5:27">
      <c r="E2108"/>
      <c r="AA2108" s="4"/>
    </row>
    <row r="2109" spans="5:27">
      <c r="E2109"/>
      <c r="AA2109" s="4"/>
    </row>
    <row r="2110" spans="5:27">
      <c r="E2110"/>
      <c r="AA2110" s="4"/>
    </row>
    <row r="2111" spans="5:27">
      <c r="E2111"/>
      <c r="AA2111" s="4"/>
    </row>
    <row r="2112" spans="5:27">
      <c r="E2112"/>
      <c r="AA2112" s="4"/>
    </row>
    <row r="2113" spans="5:27">
      <c r="E2113"/>
      <c r="AA2113" s="4"/>
    </row>
    <row r="2114" spans="5:27">
      <c r="E2114"/>
      <c r="AA2114" s="4"/>
    </row>
    <row r="2115" spans="5:27">
      <c r="E2115"/>
      <c r="AA2115" s="4"/>
    </row>
    <row r="2116" spans="5:27">
      <c r="E2116"/>
      <c r="AA2116" s="4"/>
    </row>
    <row r="2117" spans="5:27">
      <c r="E2117"/>
      <c r="AA2117" s="4"/>
    </row>
    <row r="2118" spans="5:27">
      <c r="E2118"/>
      <c r="AA2118" s="4"/>
    </row>
    <row r="2119" spans="5:27">
      <c r="E2119"/>
      <c r="AA2119" s="4"/>
    </row>
    <row r="2120" spans="5:27">
      <c r="E2120"/>
      <c r="AA2120" s="4"/>
    </row>
    <row r="2121" spans="5:27">
      <c r="E2121"/>
      <c r="AA2121" s="4"/>
    </row>
    <row r="2122" spans="5:27">
      <c r="E2122"/>
      <c r="AA2122" s="4"/>
    </row>
    <row r="2123" spans="5:27">
      <c r="E2123"/>
      <c r="AA2123" s="4"/>
    </row>
    <row r="2124" spans="5:27">
      <c r="E2124"/>
      <c r="AA2124" s="4"/>
    </row>
    <row r="2125" spans="5:27">
      <c r="E2125"/>
      <c r="AA2125" s="4"/>
    </row>
    <row r="2126" spans="5:27">
      <c r="E2126"/>
      <c r="AA2126" s="4"/>
    </row>
    <row r="2127" spans="5:27">
      <c r="E2127"/>
      <c r="AA2127" s="4"/>
    </row>
    <row r="2128" spans="5:27">
      <c r="E2128"/>
      <c r="AA2128" s="4"/>
    </row>
    <row r="2129" spans="5:27">
      <c r="E2129"/>
      <c r="AA2129" s="4"/>
    </row>
    <row r="2130" spans="5:27">
      <c r="E2130"/>
      <c r="AA2130" s="4"/>
    </row>
    <row r="2131" spans="5:27">
      <c r="E2131"/>
      <c r="AA2131" s="4"/>
    </row>
    <row r="2132" spans="5:27">
      <c r="E2132"/>
      <c r="AA2132" s="4"/>
    </row>
    <row r="2133" spans="5:27">
      <c r="E2133"/>
      <c r="AA2133" s="4"/>
    </row>
    <row r="2134" spans="5:27">
      <c r="E2134"/>
      <c r="AA2134" s="4"/>
    </row>
    <row r="2135" spans="5:27">
      <c r="E2135"/>
      <c r="AA2135" s="4"/>
    </row>
    <row r="2136" spans="5:27">
      <c r="E2136"/>
      <c r="AA2136" s="4"/>
    </row>
    <row r="2137" spans="5:27">
      <c r="E2137"/>
      <c r="AA2137" s="4"/>
    </row>
    <row r="2138" spans="5:27">
      <c r="E2138"/>
      <c r="AA2138" s="4"/>
    </row>
    <row r="2139" spans="5:27">
      <c r="E2139"/>
      <c r="AA2139" s="4"/>
    </row>
    <row r="2140" spans="5:27">
      <c r="E2140"/>
      <c r="AA2140" s="4"/>
    </row>
    <row r="2141" spans="5:27">
      <c r="E2141"/>
      <c r="AA2141" s="4"/>
    </row>
    <row r="2142" spans="5:27">
      <c r="E2142"/>
      <c r="AA2142" s="4"/>
    </row>
    <row r="2143" spans="5:27">
      <c r="E2143"/>
      <c r="AA2143" s="4"/>
    </row>
    <row r="2144" spans="5:27">
      <c r="E2144"/>
      <c r="AA2144" s="4"/>
    </row>
    <row r="2145" spans="5:27">
      <c r="E2145"/>
      <c r="AA2145" s="4"/>
    </row>
    <row r="2146" spans="5:27">
      <c r="E2146"/>
      <c r="AA2146" s="4"/>
    </row>
    <row r="2147" spans="5:27">
      <c r="E2147"/>
      <c r="AA2147" s="4"/>
    </row>
    <row r="2148" spans="5:27">
      <c r="E2148"/>
      <c r="AA2148" s="4"/>
    </row>
    <row r="2149" spans="5:27">
      <c r="E2149"/>
      <c r="AA2149" s="4"/>
    </row>
    <row r="2150" spans="5:27">
      <c r="E2150"/>
      <c r="AA2150" s="4"/>
    </row>
    <row r="2151" spans="5:27">
      <c r="E2151"/>
      <c r="AA2151" s="4"/>
    </row>
    <row r="2152" spans="5:27">
      <c r="E2152"/>
      <c r="AA2152" s="4"/>
    </row>
    <row r="2153" spans="5:27">
      <c r="E2153"/>
      <c r="AA2153" s="4"/>
    </row>
    <row r="2154" spans="5:27">
      <c r="E2154"/>
      <c r="AA2154" s="4"/>
    </row>
    <row r="2155" spans="5:27">
      <c r="E2155"/>
      <c r="AA2155" s="4"/>
    </row>
    <row r="2156" spans="5:27">
      <c r="E2156"/>
      <c r="AA2156" s="4"/>
    </row>
    <row r="2157" spans="5:27">
      <c r="E2157"/>
      <c r="AA2157" s="4"/>
    </row>
    <row r="2158" spans="5:27">
      <c r="E2158"/>
      <c r="AA2158" s="4"/>
    </row>
    <row r="2159" spans="5:27">
      <c r="E2159"/>
      <c r="AA2159" s="4"/>
    </row>
    <row r="2160" spans="5:27">
      <c r="E2160"/>
      <c r="AA2160" s="4"/>
    </row>
    <row r="2161" spans="5:27">
      <c r="E2161"/>
      <c r="AA2161" s="4"/>
    </row>
    <row r="2162" spans="5:27">
      <c r="E2162"/>
      <c r="AA2162" s="4"/>
    </row>
    <row r="2163" spans="5:27">
      <c r="E2163"/>
      <c r="AA2163" s="4"/>
    </row>
    <row r="2164" spans="5:27">
      <c r="E2164"/>
      <c r="AA2164" s="4"/>
    </row>
    <row r="2165" spans="5:27">
      <c r="E2165"/>
      <c r="AA2165" s="4"/>
    </row>
    <row r="2166" spans="5:27">
      <c r="E2166"/>
      <c r="AA2166" s="4"/>
    </row>
    <row r="2167" spans="5:27">
      <c r="E2167"/>
      <c r="AA2167" s="4"/>
    </row>
    <row r="2168" spans="5:27">
      <c r="E2168"/>
      <c r="AA2168" s="4"/>
    </row>
    <row r="2169" spans="5:27">
      <c r="E2169"/>
      <c r="AA2169" s="4"/>
    </row>
    <row r="2170" spans="5:27">
      <c r="E2170"/>
      <c r="AA2170" s="4"/>
    </row>
    <row r="2171" spans="5:27">
      <c r="E2171"/>
      <c r="AA2171" s="4"/>
    </row>
    <row r="2172" spans="5:27">
      <c r="E2172"/>
      <c r="AA2172" s="4"/>
    </row>
    <row r="2173" spans="5:27">
      <c r="E2173"/>
      <c r="AA2173" s="4"/>
    </row>
    <row r="2174" spans="5:27">
      <c r="E2174"/>
      <c r="AA2174" s="4"/>
    </row>
    <row r="2175" spans="5:27">
      <c r="E2175"/>
      <c r="AA2175" s="4"/>
    </row>
    <row r="2176" spans="5:27">
      <c r="E2176"/>
      <c r="AA2176" s="4"/>
    </row>
    <row r="2177" spans="5:27">
      <c r="E2177"/>
      <c r="AA2177" s="4"/>
    </row>
    <row r="2178" spans="5:27">
      <c r="E2178"/>
      <c r="AA2178" s="4"/>
    </row>
    <row r="2179" spans="5:27">
      <c r="E2179"/>
      <c r="AA2179" s="4"/>
    </row>
    <row r="2180" spans="5:27">
      <c r="E2180"/>
      <c r="AA2180" s="4"/>
    </row>
    <row r="2181" spans="5:27">
      <c r="E2181"/>
      <c r="AA2181" s="4"/>
    </row>
    <row r="2182" spans="5:27">
      <c r="E2182"/>
      <c r="AA2182" s="4"/>
    </row>
    <row r="2183" spans="5:27">
      <c r="E2183"/>
      <c r="AA2183" s="4"/>
    </row>
    <row r="2184" spans="5:27">
      <c r="E2184"/>
      <c r="AA2184" s="4"/>
    </row>
    <row r="2185" spans="5:27">
      <c r="E2185"/>
      <c r="AA2185" s="4"/>
    </row>
    <row r="2186" spans="5:27">
      <c r="E2186"/>
      <c r="AA2186" s="4"/>
    </row>
    <row r="2187" spans="5:27">
      <c r="E2187"/>
      <c r="AA2187" s="4"/>
    </row>
    <row r="2188" spans="5:27">
      <c r="E2188"/>
      <c r="AA2188" s="4"/>
    </row>
    <row r="2189" spans="5:27">
      <c r="E2189"/>
      <c r="AA2189" s="4"/>
    </row>
    <row r="2190" spans="5:27">
      <c r="E2190"/>
      <c r="AA2190" s="4"/>
    </row>
    <row r="2191" spans="5:27">
      <c r="E2191"/>
      <c r="AA2191" s="4"/>
    </row>
    <row r="2192" spans="5:27">
      <c r="E2192"/>
      <c r="AA2192" s="4"/>
    </row>
    <row r="2193" spans="5:27">
      <c r="E2193"/>
      <c r="AA2193" s="4"/>
    </row>
    <row r="2194" spans="5:27">
      <c r="E2194"/>
      <c r="AA2194" s="4"/>
    </row>
    <row r="2195" spans="5:27">
      <c r="E2195"/>
      <c r="AA2195" s="4"/>
    </row>
    <row r="2196" spans="5:27">
      <c r="E2196"/>
      <c r="AA2196" s="4"/>
    </row>
    <row r="2197" spans="5:27">
      <c r="E2197"/>
      <c r="AA2197" s="4"/>
    </row>
    <row r="2198" spans="5:27">
      <c r="E2198"/>
      <c r="AA2198" s="4"/>
    </row>
    <row r="2199" spans="5:27">
      <c r="E2199"/>
      <c r="AA2199" s="4"/>
    </row>
    <row r="2200" spans="5:27">
      <c r="E2200"/>
      <c r="AA2200" s="4"/>
    </row>
    <row r="2201" spans="5:27">
      <c r="E2201"/>
      <c r="AA2201" s="4"/>
    </row>
    <row r="2202" spans="5:27">
      <c r="E2202"/>
      <c r="AA2202" s="4"/>
    </row>
    <row r="2203" spans="5:27">
      <c r="E2203"/>
      <c r="AA2203" s="4"/>
    </row>
    <row r="2204" spans="5:27">
      <c r="E2204"/>
      <c r="AA2204" s="4"/>
    </row>
    <row r="2205" spans="5:27">
      <c r="E2205"/>
      <c r="AA2205" s="4"/>
    </row>
    <row r="2206" spans="5:27">
      <c r="E2206"/>
      <c r="AA2206" s="4"/>
    </row>
    <row r="2207" spans="5:27">
      <c r="E2207"/>
      <c r="AA2207" s="4"/>
    </row>
    <row r="2208" spans="5:27">
      <c r="E2208"/>
      <c r="AA2208" s="4"/>
    </row>
    <row r="2209" spans="5:27">
      <c r="E2209"/>
      <c r="AA2209" s="4"/>
    </row>
    <row r="2210" spans="5:27">
      <c r="E2210"/>
      <c r="AA2210" s="4"/>
    </row>
    <row r="2211" spans="5:27">
      <c r="E2211"/>
      <c r="AA2211" s="4"/>
    </row>
    <row r="2212" spans="5:27">
      <c r="E2212"/>
      <c r="AA2212" s="4"/>
    </row>
    <row r="2213" spans="5:27">
      <c r="E2213"/>
      <c r="AA2213" s="4"/>
    </row>
    <row r="2214" spans="5:27">
      <c r="E2214"/>
      <c r="AA2214" s="4"/>
    </row>
    <row r="2215" spans="5:27">
      <c r="E2215"/>
      <c r="AA2215" s="4"/>
    </row>
    <row r="2216" spans="5:27">
      <c r="E2216"/>
      <c r="AA2216" s="4"/>
    </row>
    <row r="2217" spans="5:27">
      <c r="E2217"/>
      <c r="AA2217" s="4"/>
    </row>
    <row r="2218" spans="5:27">
      <c r="E2218"/>
      <c r="AA2218" s="4"/>
    </row>
    <row r="2219" spans="5:27">
      <c r="E2219"/>
      <c r="AA2219" s="4"/>
    </row>
    <row r="2220" spans="5:27">
      <c r="E2220"/>
      <c r="AA2220" s="4"/>
    </row>
    <row r="2221" spans="5:27">
      <c r="E2221"/>
      <c r="AA2221" s="4"/>
    </row>
    <row r="2222" spans="5:27">
      <c r="E2222"/>
      <c r="AA2222" s="4"/>
    </row>
    <row r="2223" spans="5:27">
      <c r="E2223"/>
      <c r="AA2223" s="4"/>
    </row>
    <row r="2224" spans="5:27">
      <c r="E2224"/>
      <c r="AA2224" s="4"/>
    </row>
    <row r="2225" spans="5:27">
      <c r="E2225"/>
      <c r="AA2225" s="4"/>
    </row>
    <row r="2226" spans="5:27">
      <c r="E2226"/>
      <c r="AA2226" s="4"/>
    </row>
    <row r="2227" spans="5:27">
      <c r="E2227"/>
      <c r="AA2227" s="4"/>
    </row>
    <row r="2228" spans="5:27">
      <c r="E2228"/>
      <c r="AA2228" s="4"/>
    </row>
    <row r="2229" spans="5:27">
      <c r="E2229"/>
      <c r="AA2229" s="4"/>
    </row>
    <row r="2230" spans="5:27">
      <c r="E2230"/>
      <c r="AA2230" s="4"/>
    </row>
    <row r="2231" spans="5:27">
      <c r="E2231"/>
      <c r="AA2231" s="4"/>
    </row>
    <row r="2232" spans="5:27">
      <c r="E2232"/>
      <c r="AA2232" s="4"/>
    </row>
    <row r="2233" spans="5:27">
      <c r="E2233"/>
      <c r="AA2233" s="4"/>
    </row>
    <row r="2234" spans="5:27">
      <c r="E2234"/>
      <c r="AA2234" s="4"/>
    </row>
    <row r="2235" spans="5:27">
      <c r="E2235"/>
      <c r="AA2235" s="4"/>
    </row>
    <row r="2236" spans="5:27">
      <c r="E2236"/>
      <c r="AA2236" s="4"/>
    </row>
    <row r="2237" spans="5:27">
      <c r="E2237"/>
      <c r="AA2237" s="4"/>
    </row>
    <row r="2238" spans="5:27">
      <c r="E2238"/>
      <c r="AA2238" s="4"/>
    </row>
    <row r="2239" spans="5:27">
      <c r="E2239"/>
      <c r="AA2239" s="4"/>
    </row>
    <row r="2240" spans="5:27">
      <c r="E2240"/>
      <c r="AA2240" s="4"/>
    </row>
    <row r="2241" spans="5:27">
      <c r="E2241"/>
      <c r="AA2241" s="4"/>
    </row>
    <row r="2242" spans="5:27">
      <c r="E2242"/>
      <c r="AA2242" s="4"/>
    </row>
    <row r="2243" spans="5:27">
      <c r="E2243"/>
      <c r="AA2243" s="4"/>
    </row>
    <row r="2244" spans="5:27">
      <c r="E2244"/>
      <c r="AA2244" s="4"/>
    </row>
    <row r="2245" spans="5:27">
      <c r="E2245"/>
      <c r="AA2245" s="4"/>
    </row>
    <row r="2246" spans="5:27">
      <c r="E2246"/>
      <c r="AA2246" s="4"/>
    </row>
    <row r="2247" spans="5:27">
      <c r="E2247"/>
      <c r="AA2247" s="4"/>
    </row>
    <row r="2248" spans="5:27">
      <c r="E2248"/>
      <c r="AA2248" s="4"/>
    </row>
    <row r="2249" spans="5:27">
      <c r="E2249"/>
      <c r="AA2249" s="4"/>
    </row>
    <row r="2250" spans="5:27">
      <c r="E2250"/>
      <c r="AA2250" s="4"/>
    </row>
    <row r="2251" spans="5:27">
      <c r="E2251"/>
      <c r="AA2251" s="4"/>
    </row>
    <row r="2252" spans="5:27">
      <c r="E2252"/>
      <c r="AA2252" s="4"/>
    </row>
    <row r="2253" spans="5:27">
      <c r="E2253"/>
      <c r="AA2253" s="4"/>
    </row>
    <row r="2254" spans="5:27">
      <c r="E2254"/>
      <c r="AA2254" s="4"/>
    </row>
    <row r="2255" spans="5:27">
      <c r="E2255"/>
      <c r="AA2255" s="4"/>
    </row>
    <row r="2256" spans="5:27">
      <c r="E2256"/>
      <c r="AA2256" s="4"/>
    </row>
    <row r="2257" spans="5:27">
      <c r="E2257"/>
      <c r="AA2257" s="4"/>
    </row>
    <row r="2258" spans="5:27">
      <c r="E2258"/>
      <c r="AA2258" s="4"/>
    </row>
    <row r="2259" spans="5:27">
      <c r="E2259"/>
      <c r="AA2259" s="4"/>
    </row>
    <row r="2260" spans="5:27">
      <c r="E2260"/>
      <c r="AA2260" s="4"/>
    </row>
    <row r="2261" spans="5:27">
      <c r="E2261"/>
      <c r="AA2261" s="4"/>
    </row>
    <row r="2262" spans="5:27">
      <c r="E2262"/>
      <c r="AA2262" s="4"/>
    </row>
    <row r="2263" spans="5:27">
      <c r="E2263"/>
      <c r="AA2263" s="4"/>
    </row>
    <row r="2264" spans="5:27">
      <c r="E2264"/>
      <c r="AA2264" s="4"/>
    </row>
    <row r="2265" spans="5:27">
      <c r="E2265"/>
      <c r="AA2265" s="4"/>
    </row>
    <row r="2266" spans="5:27">
      <c r="E2266"/>
      <c r="AA2266" s="4"/>
    </row>
    <row r="2267" spans="5:27">
      <c r="E2267"/>
      <c r="AA2267" s="4"/>
    </row>
    <row r="2268" spans="5:27">
      <c r="E2268"/>
      <c r="AA2268" s="4"/>
    </row>
    <row r="2269" spans="5:27">
      <c r="E2269"/>
      <c r="AA2269" s="4"/>
    </row>
    <row r="2270" spans="5:27">
      <c r="E2270"/>
      <c r="AA2270" s="4"/>
    </row>
    <row r="2271" spans="5:27">
      <c r="E2271"/>
      <c r="AA2271" s="4"/>
    </row>
    <row r="2272" spans="5:27">
      <c r="E2272"/>
      <c r="AA2272" s="4"/>
    </row>
    <row r="2273" spans="5:27">
      <c r="E2273"/>
      <c r="AA2273" s="4"/>
    </row>
    <row r="2274" spans="5:27">
      <c r="E2274"/>
      <c r="AA2274" s="4"/>
    </row>
    <row r="2275" spans="5:27">
      <c r="E2275"/>
      <c r="AA2275" s="4"/>
    </row>
    <row r="2276" spans="5:27">
      <c r="E2276"/>
      <c r="AA2276" s="4"/>
    </row>
    <row r="2277" spans="5:27">
      <c r="E2277"/>
      <c r="AA2277" s="4"/>
    </row>
    <row r="2278" spans="5:27">
      <c r="E2278"/>
      <c r="AA2278" s="4"/>
    </row>
    <row r="2279" spans="5:27">
      <c r="E2279"/>
      <c r="AA2279" s="4"/>
    </row>
    <row r="2280" spans="5:27">
      <c r="E2280"/>
      <c r="AA2280" s="4"/>
    </row>
    <row r="2281" spans="5:27">
      <c r="E2281"/>
      <c r="AA2281" s="4"/>
    </row>
    <row r="2282" spans="5:27">
      <c r="E2282"/>
      <c r="AA2282" s="4"/>
    </row>
    <row r="2283" spans="5:27">
      <c r="E2283"/>
      <c r="AA2283" s="4"/>
    </row>
    <row r="2284" spans="5:27">
      <c r="E2284"/>
      <c r="AA2284" s="4"/>
    </row>
    <row r="2285" spans="5:27">
      <c r="E2285"/>
      <c r="AA2285" s="4"/>
    </row>
    <row r="2286" spans="5:27">
      <c r="E2286"/>
      <c r="AA2286" s="4"/>
    </row>
    <row r="2287" spans="5:27">
      <c r="E2287"/>
      <c r="AA2287" s="4"/>
    </row>
    <row r="2288" spans="5:27">
      <c r="E2288"/>
      <c r="AA2288" s="4"/>
    </row>
    <row r="2289" spans="5:27">
      <c r="E2289"/>
      <c r="AA2289" s="4"/>
    </row>
    <row r="2290" spans="5:27">
      <c r="E2290"/>
      <c r="AA2290" s="4"/>
    </row>
    <row r="2291" spans="5:27">
      <c r="E2291"/>
      <c r="AA2291" s="4"/>
    </row>
    <row r="2292" spans="5:27">
      <c r="E2292"/>
      <c r="AA2292" s="4"/>
    </row>
    <row r="2293" spans="5:27">
      <c r="E2293"/>
      <c r="AA2293" s="4"/>
    </row>
    <row r="2294" spans="5:27">
      <c r="E2294"/>
      <c r="AA2294" s="4"/>
    </row>
    <row r="2295" spans="5:27">
      <c r="E2295"/>
      <c r="AA2295" s="4"/>
    </row>
    <row r="2296" spans="5:27">
      <c r="E2296"/>
      <c r="AA2296" s="4"/>
    </row>
    <row r="2297" spans="5:27">
      <c r="E2297"/>
      <c r="AA2297" s="4"/>
    </row>
    <row r="2298" spans="5:27">
      <c r="E2298"/>
      <c r="AA2298" s="4"/>
    </row>
    <row r="2299" spans="5:27">
      <c r="E2299"/>
      <c r="AA2299" s="4"/>
    </row>
    <row r="2300" spans="5:27">
      <c r="E2300"/>
      <c r="AA2300" s="4"/>
    </row>
    <row r="2301" spans="5:27">
      <c r="E2301"/>
      <c r="AA2301" s="4"/>
    </row>
    <row r="2302" spans="5:27">
      <c r="E2302"/>
      <c r="AA2302" s="4"/>
    </row>
    <row r="2303" spans="5:27">
      <c r="E2303"/>
      <c r="AA2303" s="4"/>
    </row>
    <row r="2304" spans="5:27">
      <c r="E2304"/>
      <c r="AA2304" s="4"/>
    </row>
    <row r="2305" spans="5:27">
      <c r="E2305"/>
      <c r="AA2305" s="4"/>
    </row>
    <row r="2306" spans="5:27">
      <c r="E2306"/>
      <c r="AA2306" s="4"/>
    </row>
    <row r="2307" spans="5:27">
      <c r="E2307"/>
      <c r="AA2307" s="4"/>
    </row>
    <row r="2308" spans="5:27">
      <c r="E2308"/>
      <c r="AA2308" s="4"/>
    </row>
    <row r="2309" spans="5:27">
      <c r="E2309"/>
      <c r="AA2309" s="4"/>
    </row>
    <row r="2310" spans="5:27">
      <c r="E2310"/>
      <c r="AA2310" s="4"/>
    </row>
    <row r="2311" spans="5:27">
      <c r="E2311"/>
      <c r="AA2311" s="4"/>
    </row>
    <row r="2312" spans="5:27">
      <c r="E2312"/>
      <c r="AA2312" s="4"/>
    </row>
    <row r="2313" spans="5:27">
      <c r="E2313"/>
      <c r="AA2313" s="4"/>
    </row>
    <row r="2314" spans="5:27">
      <c r="E2314"/>
      <c r="AA2314" s="4"/>
    </row>
    <row r="2315" spans="5:27">
      <c r="E2315"/>
      <c r="AA2315" s="4"/>
    </row>
    <row r="2316" spans="5:27">
      <c r="E2316"/>
      <c r="AA2316" s="4"/>
    </row>
    <row r="2317" spans="5:27">
      <c r="E2317"/>
      <c r="AA2317" s="4"/>
    </row>
    <row r="2318" spans="5:27">
      <c r="E2318"/>
      <c r="AA2318" s="4"/>
    </row>
    <row r="2319" spans="5:27">
      <c r="E2319"/>
      <c r="AA2319" s="4"/>
    </row>
    <row r="2320" spans="5:27">
      <c r="E2320"/>
      <c r="AA2320" s="4"/>
    </row>
    <row r="2321" spans="5:27">
      <c r="E2321"/>
      <c r="AA2321" s="4"/>
    </row>
    <row r="2322" spans="5:27">
      <c r="E2322"/>
      <c r="AA2322" s="4"/>
    </row>
    <row r="2323" spans="5:27">
      <c r="E2323"/>
      <c r="AA2323" s="4"/>
    </row>
    <row r="2324" spans="5:27">
      <c r="E2324"/>
      <c r="AA2324" s="4"/>
    </row>
    <row r="2325" spans="5:27">
      <c r="E2325"/>
      <c r="AA2325" s="4"/>
    </row>
    <row r="2326" spans="5:27">
      <c r="E2326"/>
      <c r="AA2326" s="4"/>
    </row>
    <row r="2327" spans="5:27">
      <c r="E2327"/>
      <c r="AA2327" s="4"/>
    </row>
    <row r="2328" spans="5:27">
      <c r="E2328"/>
      <c r="AA2328" s="4"/>
    </row>
    <row r="2329" spans="5:27">
      <c r="E2329"/>
      <c r="AA2329" s="4"/>
    </row>
    <row r="2330" spans="5:27">
      <c r="E2330"/>
      <c r="AA2330" s="4"/>
    </row>
    <row r="2331" spans="5:27">
      <c r="E2331"/>
      <c r="AA2331" s="4"/>
    </row>
    <row r="2332" spans="5:27">
      <c r="E2332"/>
      <c r="AA2332" s="4"/>
    </row>
    <row r="2333" spans="5:27">
      <c r="E2333"/>
      <c r="AA2333" s="4"/>
    </row>
    <row r="2334" spans="5:27">
      <c r="E2334"/>
      <c r="AA2334" s="4"/>
    </row>
    <row r="2335" spans="5:27">
      <c r="E2335"/>
      <c r="AA2335" s="4"/>
    </row>
    <row r="2336" spans="5:27">
      <c r="E2336"/>
      <c r="AA2336" s="4"/>
    </row>
    <row r="2337" spans="5:27">
      <c r="E2337"/>
      <c r="AA2337" s="4"/>
    </row>
    <row r="2338" spans="5:27">
      <c r="E2338"/>
      <c r="AA2338" s="4"/>
    </row>
    <row r="2339" spans="5:27">
      <c r="E2339"/>
      <c r="AA2339" s="4"/>
    </row>
    <row r="2340" spans="5:27">
      <c r="E2340"/>
      <c r="AA2340" s="4"/>
    </row>
    <row r="2341" spans="5:27">
      <c r="E2341"/>
      <c r="AA2341" s="4"/>
    </row>
    <row r="2342" spans="5:27">
      <c r="E2342"/>
      <c r="AA2342" s="4"/>
    </row>
    <row r="2343" spans="5:27">
      <c r="E2343"/>
      <c r="AA2343" s="4"/>
    </row>
    <row r="2344" spans="5:27">
      <c r="E2344"/>
      <c r="AA2344" s="4"/>
    </row>
    <row r="2345" spans="5:27">
      <c r="E2345"/>
      <c r="AA2345" s="4"/>
    </row>
    <row r="2346" spans="5:27">
      <c r="E2346"/>
      <c r="AA2346" s="4"/>
    </row>
    <row r="2347" spans="5:27">
      <c r="E2347"/>
      <c r="AA2347" s="4"/>
    </row>
    <row r="2348" spans="5:27">
      <c r="E2348"/>
      <c r="AA2348" s="4"/>
    </row>
    <row r="2349" spans="5:27">
      <c r="E2349"/>
      <c r="AA2349" s="4"/>
    </row>
    <row r="2350" spans="5:27">
      <c r="E2350"/>
      <c r="AA2350" s="4"/>
    </row>
    <row r="2351" spans="5:27">
      <c r="E2351"/>
      <c r="AA2351" s="4"/>
    </row>
    <row r="2352" spans="5:27">
      <c r="E2352"/>
      <c r="AA2352" s="4"/>
    </row>
    <row r="2353" spans="5:27">
      <c r="E2353"/>
      <c r="AA2353" s="4"/>
    </row>
    <row r="2354" spans="5:27">
      <c r="E2354"/>
      <c r="AA2354" s="4"/>
    </row>
    <row r="2355" spans="5:27">
      <c r="E2355"/>
      <c r="AA2355" s="4"/>
    </row>
    <row r="2356" spans="5:27">
      <c r="E2356"/>
      <c r="AA2356" s="4"/>
    </row>
    <row r="2357" spans="5:27">
      <c r="E2357"/>
      <c r="AA2357" s="4"/>
    </row>
    <row r="2358" spans="5:27">
      <c r="E2358"/>
      <c r="AA2358" s="4"/>
    </row>
    <row r="2359" spans="5:27">
      <c r="E2359"/>
      <c r="AA2359" s="4"/>
    </row>
    <row r="2360" spans="5:27">
      <c r="E2360"/>
      <c r="AA2360" s="4"/>
    </row>
    <row r="2361" spans="5:27">
      <c r="E2361"/>
      <c r="AA2361" s="4"/>
    </row>
    <row r="2362" spans="5:27">
      <c r="E2362"/>
      <c r="AA2362" s="4"/>
    </row>
    <row r="2363" spans="5:27">
      <c r="E2363"/>
      <c r="AA2363" s="4"/>
    </row>
    <row r="2364" spans="5:27">
      <c r="E2364"/>
      <c r="AA2364" s="4"/>
    </row>
    <row r="2365" spans="5:27">
      <c r="E2365"/>
      <c r="AA2365" s="4"/>
    </row>
    <row r="2366" spans="5:27">
      <c r="E2366"/>
      <c r="AA2366" s="4"/>
    </row>
    <row r="2367" spans="5:27">
      <c r="E2367"/>
      <c r="AA2367" s="4"/>
    </row>
    <row r="2368" spans="5:27">
      <c r="E2368"/>
      <c r="AA2368" s="4"/>
    </row>
    <row r="2369" spans="5:27">
      <c r="E2369"/>
      <c r="AA2369" s="4"/>
    </row>
    <row r="2370" spans="5:27">
      <c r="E2370"/>
      <c r="AA2370" s="4"/>
    </row>
    <row r="2371" spans="5:27">
      <c r="E2371"/>
      <c r="AA2371" s="4"/>
    </row>
    <row r="2372" spans="5:27">
      <c r="E2372"/>
      <c r="AA2372" s="4"/>
    </row>
    <row r="2373" spans="5:27">
      <c r="E2373"/>
      <c r="AA2373" s="4"/>
    </row>
    <row r="2374" spans="5:27">
      <c r="E2374"/>
      <c r="AA2374" s="4"/>
    </row>
    <row r="2375" spans="5:27">
      <c r="E2375"/>
      <c r="AA2375" s="4"/>
    </row>
    <row r="2376" spans="5:27">
      <c r="E2376"/>
      <c r="AA2376" s="4"/>
    </row>
    <row r="2377" spans="5:27">
      <c r="E2377"/>
      <c r="AA2377" s="4"/>
    </row>
    <row r="2378" spans="5:27">
      <c r="E2378"/>
      <c r="AA2378" s="4"/>
    </row>
    <row r="2379" spans="5:27">
      <c r="E2379"/>
      <c r="AA2379" s="4"/>
    </row>
    <row r="2380" spans="5:27">
      <c r="E2380"/>
      <c r="AA2380" s="4"/>
    </row>
    <row r="2381" spans="5:27">
      <c r="E2381"/>
      <c r="AA2381" s="4"/>
    </row>
    <row r="2382" spans="5:27">
      <c r="E2382"/>
      <c r="AA2382" s="4"/>
    </row>
    <row r="2383" spans="5:27">
      <c r="E2383"/>
      <c r="AA2383" s="4"/>
    </row>
    <row r="2384" spans="5:27">
      <c r="E2384"/>
      <c r="AA2384" s="4"/>
    </row>
    <row r="2385" spans="5:27">
      <c r="E2385"/>
      <c r="AA2385" s="4"/>
    </row>
    <row r="2386" spans="5:27">
      <c r="E2386"/>
      <c r="AA2386" s="4"/>
    </row>
    <row r="2387" spans="5:27">
      <c r="E2387"/>
      <c r="AA2387" s="4"/>
    </row>
    <row r="2388" spans="5:27">
      <c r="E2388"/>
      <c r="AA2388" s="4"/>
    </row>
    <row r="2389" spans="5:27">
      <c r="E2389"/>
      <c r="AA2389" s="4"/>
    </row>
    <row r="2390" spans="5:27">
      <c r="E2390"/>
      <c r="AA2390" s="4"/>
    </row>
    <row r="2391" spans="5:27">
      <c r="E2391"/>
      <c r="AA2391" s="4"/>
    </row>
    <row r="2392" spans="5:27">
      <c r="E2392"/>
      <c r="AA2392" s="4"/>
    </row>
    <row r="2393" spans="5:27">
      <c r="E2393"/>
      <c r="AA2393" s="4"/>
    </row>
    <row r="2394" spans="5:27">
      <c r="E2394"/>
      <c r="AA2394" s="4"/>
    </row>
    <row r="2395" spans="5:27">
      <c r="E2395"/>
      <c r="AA2395" s="4"/>
    </row>
    <row r="2396" spans="5:27">
      <c r="E2396"/>
      <c r="AA2396" s="4"/>
    </row>
    <row r="2397" spans="5:27">
      <c r="E2397"/>
      <c r="AA2397" s="4"/>
    </row>
    <row r="2398" spans="5:27">
      <c r="E2398"/>
      <c r="AA2398" s="4"/>
    </row>
    <row r="2399" spans="5:27">
      <c r="E2399"/>
      <c r="AA2399" s="4"/>
    </row>
    <row r="2400" spans="5:27">
      <c r="E2400"/>
      <c r="AA2400" s="4"/>
    </row>
    <row r="2401" spans="5:27">
      <c r="E2401"/>
      <c r="AA2401" s="4"/>
    </row>
    <row r="2402" spans="5:27">
      <c r="E2402"/>
      <c r="AA2402" s="4"/>
    </row>
    <row r="2403" spans="5:27">
      <c r="E2403"/>
      <c r="AA2403" s="4"/>
    </row>
    <row r="2404" spans="5:27">
      <c r="E2404"/>
      <c r="AA2404" s="4"/>
    </row>
    <row r="2405" spans="5:27">
      <c r="E2405"/>
      <c r="AA2405" s="4"/>
    </row>
    <row r="2406" spans="5:27">
      <c r="E2406"/>
      <c r="AA2406" s="4"/>
    </row>
    <row r="2407" spans="5:27">
      <c r="E2407"/>
      <c r="AA2407" s="4"/>
    </row>
    <row r="2408" spans="5:27">
      <c r="E2408"/>
      <c r="AA2408" s="4"/>
    </row>
    <row r="2409" spans="5:27">
      <c r="E2409"/>
      <c r="AA2409" s="4"/>
    </row>
    <row r="2410" spans="5:27">
      <c r="E2410"/>
      <c r="AA2410" s="4"/>
    </row>
    <row r="2411" spans="5:27">
      <c r="E2411"/>
      <c r="AA2411" s="4"/>
    </row>
    <row r="2412" spans="5:27">
      <c r="E2412"/>
      <c r="AA2412" s="4"/>
    </row>
    <row r="2413" spans="5:27">
      <c r="E2413"/>
      <c r="AA2413" s="4"/>
    </row>
    <row r="2414" spans="5:27">
      <c r="E2414"/>
      <c r="AA2414" s="4"/>
    </row>
    <row r="2415" spans="5:27">
      <c r="E2415"/>
      <c r="AA2415" s="4"/>
    </row>
    <row r="2416" spans="5:27">
      <c r="E2416"/>
      <c r="AA2416" s="4"/>
    </row>
    <row r="2417" spans="5:27">
      <c r="E2417"/>
      <c r="AA2417" s="4"/>
    </row>
    <row r="2418" spans="5:27">
      <c r="E2418"/>
      <c r="AA2418" s="4"/>
    </row>
    <row r="2419" spans="5:27">
      <c r="E2419"/>
      <c r="AA2419" s="4"/>
    </row>
    <row r="2420" spans="5:27">
      <c r="E2420"/>
      <c r="AA2420" s="4"/>
    </row>
    <row r="2421" spans="5:27">
      <c r="E2421"/>
      <c r="AA2421" s="4"/>
    </row>
    <row r="2422" spans="5:27">
      <c r="E2422"/>
      <c r="AA2422" s="4"/>
    </row>
    <row r="2423" spans="5:27">
      <c r="E2423"/>
      <c r="AA2423" s="4"/>
    </row>
    <row r="2424" spans="5:27">
      <c r="E2424"/>
      <c r="AA2424" s="4"/>
    </row>
    <row r="2425" spans="5:27">
      <c r="E2425"/>
      <c r="AA2425" s="4"/>
    </row>
    <row r="2426" spans="5:27">
      <c r="E2426"/>
      <c r="AA2426" s="4"/>
    </row>
    <row r="2427" spans="5:27">
      <c r="E2427"/>
      <c r="AA2427" s="4"/>
    </row>
    <row r="2428" spans="5:27">
      <c r="E2428"/>
      <c r="AA2428" s="4"/>
    </row>
    <row r="2429" spans="5:27">
      <c r="E2429"/>
      <c r="AA2429" s="4"/>
    </row>
    <row r="2430" spans="5:27">
      <c r="E2430"/>
      <c r="AA2430" s="4"/>
    </row>
    <row r="2431" spans="5:27">
      <c r="E2431"/>
      <c r="AA2431" s="4"/>
    </row>
    <row r="2432" spans="5:27">
      <c r="E2432"/>
      <c r="AA2432" s="4"/>
    </row>
    <row r="2433" spans="5:27">
      <c r="E2433"/>
      <c r="AA2433" s="4"/>
    </row>
    <row r="2434" spans="5:27">
      <c r="E2434"/>
      <c r="AA2434" s="4"/>
    </row>
    <row r="2435" spans="5:27">
      <c r="E2435"/>
      <c r="AA2435" s="4"/>
    </row>
    <row r="2436" spans="5:27">
      <c r="E2436"/>
      <c r="AA2436" s="4"/>
    </row>
    <row r="2437" spans="5:27">
      <c r="E2437"/>
      <c r="AA2437" s="4"/>
    </row>
    <row r="2438" spans="5:27">
      <c r="E2438"/>
      <c r="AA2438" s="4"/>
    </row>
    <row r="2439" spans="5:27">
      <c r="E2439"/>
      <c r="AA2439" s="4"/>
    </row>
    <row r="2440" spans="5:27">
      <c r="E2440"/>
      <c r="AA2440" s="4"/>
    </row>
    <row r="2441" spans="5:27">
      <c r="E2441"/>
      <c r="AA2441" s="4"/>
    </row>
    <row r="2442" spans="5:27">
      <c r="E2442"/>
      <c r="AA2442" s="4"/>
    </row>
    <row r="2443" spans="5:27">
      <c r="E2443"/>
      <c r="AA2443" s="4"/>
    </row>
    <row r="2444" spans="5:27">
      <c r="E2444"/>
      <c r="AA2444" s="4"/>
    </row>
    <row r="2445" spans="5:27">
      <c r="E2445"/>
      <c r="AA2445" s="4"/>
    </row>
    <row r="2446" spans="5:27">
      <c r="E2446"/>
      <c r="AA2446" s="4"/>
    </row>
    <row r="2447" spans="5:27">
      <c r="E2447"/>
      <c r="AA2447" s="4"/>
    </row>
    <row r="2448" spans="5:27">
      <c r="E2448"/>
      <c r="AA2448" s="4"/>
    </row>
    <row r="2449" spans="5:27">
      <c r="E2449"/>
      <c r="AA2449" s="4"/>
    </row>
    <row r="2450" spans="5:27">
      <c r="E2450"/>
      <c r="AA2450" s="4"/>
    </row>
    <row r="2451" spans="5:27">
      <c r="E2451"/>
      <c r="AA2451" s="4"/>
    </row>
    <row r="2452" spans="5:27">
      <c r="E2452"/>
      <c r="AA2452" s="4"/>
    </row>
    <row r="2453" spans="5:27">
      <c r="E2453"/>
      <c r="AA2453" s="4"/>
    </row>
    <row r="2454" spans="5:27">
      <c r="E2454"/>
      <c r="AA2454" s="4"/>
    </row>
    <row r="2455" spans="5:27">
      <c r="E2455"/>
      <c r="AA2455" s="4"/>
    </row>
    <row r="2456" spans="5:27">
      <c r="E2456"/>
      <c r="AA2456" s="4"/>
    </row>
    <row r="2457" spans="5:27">
      <c r="E2457"/>
      <c r="AA2457" s="4"/>
    </row>
    <row r="2458" spans="5:27">
      <c r="E2458"/>
      <c r="AA2458" s="4"/>
    </row>
    <row r="2459" spans="5:27">
      <c r="E2459"/>
      <c r="AA2459" s="4"/>
    </row>
    <row r="2460" spans="5:27">
      <c r="E2460"/>
      <c r="AA2460" s="4"/>
    </row>
    <row r="2461" spans="5:27">
      <c r="E2461"/>
      <c r="AA2461" s="4"/>
    </row>
    <row r="2462" spans="5:27">
      <c r="E2462"/>
      <c r="AA2462" s="4"/>
    </row>
    <row r="2463" spans="5:27">
      <c r="E2463"/>
      <c r="AA2463" s="4"/>
    </row>
    <row r="2464" spans="5:27">
      <c r="E2464"/>
      <c r="AA2464" s="4"/>
    </row>
    <row r="2465" spans="5:27">
      <c r="E2465"/>
      <c r="AA2465" s="4"/>
    </row>
    <row r="2466" spans="5:27">
      <c r="E2466"/>
      <c r="AA2466" s="4"/>
    </row>
    <row r="2467" spans="5:27">
      <c r="E2467"/>
      <c r="AA2467" s="4"/>
    </row>
    <row r="2468" spans="5:27">
      <c r="E2468"/>
      <c r="AA2468" s="4"/>
    </row>
    <row r="2469" spans="5:27">
      <c r="E2469"/>
      <c r="AA2469" s="4"/>
    </row>
    <row r="2470" spans="5:27">
      <c r="E2470"/>
      <c r="AA2470" s="4"/>
    </row>
    <row r="2471" spans="5:27">
      <c r="E2471"/>
      <c r="AA2471" s="4"/>
    </row>
    <row r="2472" spans="5:27">
      <c r="E2472"/>
      <c r="AA2472" s="4"/>
    </row>
    <row r="2473" spans="5:27">
      <c r="E2473"/>
      <c r="AA2473" s="4"/>
    </row>
    <row r="2474" spans="5:27">
      <c r="E2474"/>
      <c r="AA2474" s="4"/>
    </row>
    <row r="2475" spans="5:27">
      <c r="E2475"/>
      <c r="AA2475" s="4"/>
    </row>
    <row r="2476" spans="5:27">
      <c r="E2476"/>
      <c r="AA2476" s="4"/>
    </row>
    <row r="2477" spans="5:27">
      <c r="E2477"/>
      <c r="AA2477" s="4"/>
    </row>
    <row r="2478" spans="5:27">
      <c r="E2478"/>
      <c r="AA2478" s="4"/>
    </row>
    <row r="2479" spans="5:27">
      <c r="E2479"/>
      <c r="AA2479" s="4"/>
    </row>
    <row r="2480" spans="5:27">
      <c r="E2480"/>
      <c r="AA2480" s="4"/>
    </row>
    <row r="2481" spans="5:27">
      <c r="E2481"/>
      <c r="AA2481" s="4"/>
    </row>
    <row r="2482" spans="5:27">
      <c r="E2482"/>
      <c r="AA2482" s="4"/>
    </row>
    <row r="2483" spans="5:27">
      <c r="E2483"/>
      <c r="AA2483" s="4"/>
    </row>
    <row r="2484" spans="5:27">
      <c r="E2484"/>
      <c r="AA2484" s="4"/>
    </row>
    <row r="2485" spans="5:27">
      <c r="E2485"/>
      <c r="AA2485" s="4"/>
    </row>
    <row r="2486" spans="5:27">
      <c r="E2486"/>
      <c r="AA2486" s="4"/>
    </row>
    <row r="2487" spans="5:27">
      <c r="E2487"/>
      <c r="AA2487" s="4"/>
    </row>
    <row r="2488" spans="5:27">
      <c r="E2488"/>
      <c r="AA2488" s="4"/>
    </row>
    <row r="2489" spans="5:27">
      <c r="E2489"/>
      <c r="AA2489" s="4"/>
    </row>
    <row r="2490" spans="5:27">
      <c r="E2490"/>
      <c r="AA2490" s="4"/>
    </row>
    <row r="2491" spans="5:27">
      <c r="E2491"/>
      <c r="AA2491" s="4"/>
    </row>
    <row r="2492" spans="5:27">
      <c r="E2492"/>
      <c r="AA2492" s="4"/>
    </row>
    <row r="2493" spans="5:27">
      <c r="E2493"/>
      <c r="AA2493" s="4"/>
    </row>
    <row r="2494" spans="5:27">
      <c r="E2494"/>
      <c r="AA2494" s="4"/>
    </row>
    <row r="2495" spans="5:27">
      <c r="E2495"/>
      <c r="AA2495" s="4"/>
    </row>
    <row r="2496" spans="5:27">
      <c r="E2496"/>
      <c r="AA2496" s="4"/>
    </row>
    <row r="2497" spans="5:27">
      <c r="E2497"/>
      <c r="AA2497" s="4"/>
    </row>
    <row r="2498" spans="5:27">
      <c r="E2498"/>
      <c r="AA2498" s="4"/>
    </row>
    <row r="2499" spans="5:27">
      <c r="E2499"/>
      <c r="AA2499" s="4"/>
    </row>
    <row r="2500" spans="5:27">
      <c r="E2500"/>
      <c r="AA2500" s="4"/>
    </row>
    <row r="2501" spans="5:27">
      <c r="E2501"/>
      <c r="AA2501" s="4"/>
    </row>
    <row r="2502" spans="5:27">
      <c r="E2502"/>
      <c r="AA2502" s="4"/>
    </row>
    <row r="2503" spans="5:27">
      <c r="E2503"/>
      <c r="AA2503" s="4"/>
    </row>
    <row r="2504" spans="5:27">
      <c r="E2504"/>
      <c r="AA2504" s="4"/>
    </row>
    <row r="2505" spans="5:27">
      <c r="E2505"/>
      <c r="AA2505" s="4"/>
    </row>
    <row r="2506" spans="5:27">
      <c r="E2506"/>
      <c r="AA2506" s="4"/>
    </row>
    <row r="2507" spans="5:27">
      <c r="E2507"/>
      <c r="AA2507" s="4"/>
    </row>
    <row r="2508" spans="5:27">
      <c r="E2508"/>
      <c r="AA2508" s="4"/>
    </row>
    <row r="2509" spans="5:27">
      <c r="E2509"/>
      <c r="AA2509" s="4"/>
    </row>
    <row r="2510" spans="5:27">
      <c r="E2510"/>
      <c r="AA2510" s="4"/>
    </row>
    <row r="2511" spans="5:27">
      <c r="E2511"/>
      <c r="AA2511" s="4"/>
    </row>
    <row r="2512" spans="5:27">
      <c r="E2512"/>
      <c r="AA2512" s="4"/>
    </row>
    <row r="2513" spans="5:27">
      <c r="E2513"/>
      <c r="AA2513" s="4"/>
    </row>
    <row r="2514" spans="5:27">
      <c r="E2514"/>
      <c r="AA2514" s="4"/>
    </row>
    <row r="2515" spans="5:27">
      <c r="E2515"/>
      <c r="AA2515" s="4"/>
    </row>
    <row r="2516" spans="5:27">
      <c r="E2516"/>
      <c r="AA2516" s="4"/>
    </row>
    <row r="2517" spans="5:27">
      <c r="E2517"/>
      <c r="AA2517" s="4"/>
    </row>
    <row r="2518" spans="5:27">
      <c r="E2518"/>
      <c r="AA2518" s="4"/>
    </row>
    <row r="2519" spans="5:27">
      <c r="E2519"/>
      <c r="AA2519" s="4"/>
    </row>
    <row r="2520" spans="5:27">
      <c r="E2520"/>
      <c r="AA2520" s="4"/>
    </row>
    <row r="2521" spans="5:27">
      <c r="E2521"/>
      <c r="AA2521" s="4"/>
    </row>
    <row r="2522" spans="5:27">
      <c r="E2522"/>
      <c r="AA2522" s="4"/>
    </row>
    <row r="2523" spans="5:27">
      <c r="E2523"/>
      <c r="AA2523" s="4"/>
    </row>
    <row r="2524" spans="5:27">
      <c r="E2524"/>
      <c r="AA2524" s="4"/>
    </row>
    <row r="2525" spans="5:27">
      <c r="E2525"/>
      <c r="AA2525" s="4"/>
    </row>
    <row r="2526" spans="5:27">
      <c r="E2526"/>
      <c r="AA2526" s="4"/>
    </row>
    <row r="2527" spans="5:27">
      <c r="E2527"/>
      <c r="AA2527" s="4"/>
    </row>
    <row r="2528" spans="5:27">
      <c r="E2528"/>
      <c r="AA2528" s="4"/>
    </row>
    <row r="2529" spans="5:27">
      <c r="E2529"/>
      <c r="AA2529" s="4"/>
    </row>
    <row r="2530" spans="5:27">
      <c r="E2530"/>
      <c r="AA2530" s="4"/>
    </row>
    <row r="2531" spans="5:27">
      <c r="E2531"/>
      <c r="AA2531" s="4"/>
    </row>
    <row r="2532" spans="5:27">
      <c r="E2532"/>
      <c r="AA2532" s="4"/>
    </row>
    <row r="2533" spans="5:27">
      <c r="E2533"/>
      <c r="AA2533" s="4"/>
    </row>
    <row r="2534" spans="5:27">
      <c r="E2534"/>
      <c r="AA2534" s="4"/>
    </row>
    <row r="2535" spans="5:27">
      <c r="E2535"/>
      <c r="AA2535" s="4"/>
    </row>
    <row r="2536" spans="5:27">
      <c r="E2536"/>
      <c r="AA2536" s="4"/>
    </row>
    <row r="2537" spans="5:27">
      <c r="E2537"/>
      <c r="AA2537" s="4"/>
    </row>
    <row r="2538" spans="5:27">
      <c r="E2538"/>
      <c r="AA2538" s="4"/>
    </row>
    <row r="2539" spans="5:27">
      <c r="E2539"/>
      <c r="AA2539" s="4"/>
    </row>
    <row r="2540" spans="5:27">
      <c r="E2540"/>
      <c r="AA2540" s="4"/>
    </row>
    <row r="2541" spans="5:27">
      <c r="E2541"/>
      <c r="AA2541" s="4"/>
    </row>
    <row r="2542" spans="5:27">
      <c r="E2542"/>
      <c r="AA2542" s="4"/>
    </row>
    <row r="2543" spans="5:27">
      <c r="E2543"/>
      <c r="AA2543" s="4"/>
    </row>
    <row r="2544" spans="5:27">
      <c r="E2544"/>
      <c r="AA2544" s="4"/>
    </row>
    <row r="2545" spans="5:27">
      <c r="E2545"/>
      <c r="AA2545" s="4"/>
    </row>
    <row r="2546" spans="5:27">
      <c r="E2546"/>
      <c r="AA2546" s="4"/>
    </row>
    <row r="2547" spans="5:27">
      <c r="E2547"/>
      <c r="AA2547" s="4"/>
    </row>
    <row r="2548" spans="5:27">
      <c r="E2548"/>
      <c r="AA2548" s="4"/>
    </row>
    <row r="2549" spans="5:27">
      <c r="E2549"/>
      <c r="AA2549" s="4"/>
    </row>
    <row r="2550" spans="5:27">
      <c r="E2550"/>
      <c r="AA2550" s="4"/>
    </row>
    <row r="2551" spans="5:27">
      <c r="E2551"/>
      <c r="AA2551" s="4"/>
    </row>
    <row r="2552" spans="5:27">
      <c r="E2552"/>
      <c r="AA2552" s="4"/>
    </row>
    <row r="2553" spans="5:27">
      <c r="E2553"/>
      <c r="AA2553" s="4"/>
    </row>
    <row r="2554" spans="5:27">
      <c r="E2554"/>
      <c r="AA2554" s="4"/>
    </row>
    <row r="2555" spans="5:27">
      <c r="E2555"/>
      <c r="AA2555" s="4"/>
    </row>
    <row r="2556" spans="5:27">
      <c r="E2556"/>
      <c r="AA2556" s="4"/>
    </row>
    <row r="2557" spans="5:27">
      <c r="E2557"/>
      <c r="AA2557" s="4"/>
    </row>
    <row r="2558" spans="5:27">
      <c r="E2558"/>
      <c r="AA2558" s="4"/>
    </row>
    <row r="2559" spans="5:27">
      <c r="E2559"/>
      <c r="AA2559" s="4"/>
    </row>
    <row r="2560" spans="5:27">
      <c r="E2560"/>
      <c r="AA2560" s="4"/>
    </row>
    <row r="2561" spans="5:27">
      <c r="E2561"/>
      <c r="AA2561" s="4"/>
    </row>
    <row r="2562" spans="5:27">
      <c r="E2562"/>
      <c r="AA2562" s="4"/>
    </row>
    <row r="2563" spans="5:27">
      <c r="E2563"/>
      <c r="AA2563" s="4"/>
    </row>
    <row r="2564" spans="5:27">
      <c r="E2564"/>
      <c r="AA2564" s="4"/>
    </row>
    <row r="2565" spans="5:27">
      <c r="E2565"/>
      <c r="AA2565" s="4"/>
    </row>
    <row r="2566" spans="5:27">
      <c r="E2566"/>
      <c r="AA2566" s="4"/>
    </row>
    <row r="2567" spans="5:27">
      <c r="E2567"/>
      <c r="AA2567" s="4"/>
    </row>
    <row r="2568" spans="5:27">
      <c r="E2568"/>
      <c r="AA2568" s="4"/>
    </row>
    <row r="2569" spans="5:27">
      <c r="E2569"/>
      <c r="AA2569" s="4"/>
    </row>
    <row r="2570" spans="5:27">
      <c r="E2570"/>
      <c r="AA2570" s="4"/>
    </row>
    <row r="2571" spans="5:27">
      <c r="E2571"/>
      <c r="AA2571" s="4"/>
    </row>
    <row r="2572" spans="5:27">
      <c r="E2572"/>
      <c r="AA2572" s="4"/>
    </row>
    <row r="2573" spans="5:27">
      <c r="E2573"/>
      <c r="AA2573" s="4"/>
    </row>
    <row r="2574" spans="5:27">
      <c r="E2574"/>
      <c r="AA2574" s="4"/>
    </row>
    <row r="2575" spans="5:27">
      <c r="E2575"/>
      <c r="AA2575" s="4"/>
    </row>
    <row r="2576" spans="5:27">
      <c r="E2576"/>
      <c r="AA2576" s="4"/>
    </row>
    <row r="2577" spans="5:27">
      <c r="E2577"/>
      <c r="AA2577" s="4"/>
    </row>
    <row r="2578" spans="5:27">
      <c r="E2578"/>
      <c r="AA2578" s="4"/>
    </row>
    <row r="2579" spans="5:27">
      <c r="E2579"/>
      <c r="AA2579" s="4"/>
    </row>
    <row r="2580" spans="5:27">
      <c r="E2580"/>
      <c r="AA2580" s="4"/>
    </row>
    <row r="2581" spans="5:27">
      <c r="E2581"/>
      <c r="AA2581" s="4"/>
    </row>
    <row r="2582" spans="5:27">
      <c r="E2582"/>
      <c r="AA2582" s="4"/>
    </row>
    <row r="2583" spans="5:27">
      <c r="E2583"/>
      <c r="AA2583" s="4"/>
    </row>
    <row r="2584" spans="5:27">
      <c r="E2584"/>
      <c r="AA2584" s="4"/>
    </row>
    <row r="2585" spans="5:27">
      <c r="E2585"/>
      <c r="AA2585" s="4"/>
    </row>
    <row r="2586" spans="5:27">
      <c r="E2586"/>
      <c r="AA2586" s="4"/>
    </row>
    <row r="2587" spans="5:27">
      <c r="E2587"/>
      <c r="AA2587" s="4"/>
    </row>
    <row r="2588" spans="5:27">
      <c r="E2588"/>
      <c r="AA2588" s="4"/>
    </row>
    <row r="2589" spans="5:27">
      <c r="E2589"/>
      <c r="AA2589" s="4"/>
    </row>
    <row r="2590" spans="5:27">
      <c r="E2590"/>
      <c r="AA2590" s="4"/>
    </row>
    <row r="2591" spans="5:27">
      <c r="E2591"/>
      <c r="AA2591" s="4"/>
    </row>
    <row r="2592" spans="5:27">
      <c r="E2592"/>
      <c r="AA2592" s="4"/>
    </row>
    <row r="2593" spans="5:27">
      <c r="E2593"/>
      <c r="AA2593" s="4"/>
    </row>
    <row r="2594" spans="5:27">
      <c r="E2594"/>
      <c r="AA2594" s="4"/>
    </row>
    <row r="2595" spans="5:27">
      <c r="E2595"/>
      <c r="AA2595" s="4"/>
    </row>
    <row r="2596" spans="5:27">
      <c r="E2596"/>
      <c r="AA2596" s="4"/>
    </row>
    <row r="2597" spans="5:27">
      <c r="E2597"/>
      <c r="AA2597" s="4"/>
    </row>
    <row r="2598" spans="5:27">
      <c r="E2598"/>
      <c r="AA2598" s="4"/>
    </row>
    <row r="2599" spans="5:27">
      <c r="E2599"/>
      <c r="AA2599" s="4"/>
    </row>
    <row r="2600" spans="5:27">
      <c r="E2600"/>
      <c r="AA2600" s="4"/>
    </row>
    <row r="2601" spans="5:27">
      <c r="E2601"/>
      <c r="AA2601" s="4"/>
    </row>
    <row r="2602" spans="5:27">
      <c r="E2602"/>
      <c r="AA2602" s="4"/>
    </row>
    <row r="2603" spans="5:27">
      <c r="E2603"/>
      <c r="AA2603" s="4"/>
    </row>
    <row r="2604" spans="5:27">
      <c r="E2604"/>
      <c r="AA2604" s="4"/>
    </row>
    <row r="2605" spans="5:27">
      <c r="E2605"/>
      <c r="AA2605" s="4"/>
    </row>
    <row r="2606" spans="5:27">
      <c r="E2606"/>
      <c r="AA2606" s="4"/>
    </row>
    <row r="2607" spans="5:27">
      <c r="E2607"/>
      <c r="AA2607" s="4"/>
    </row>
    <row r="2608" spans="5:27">
      <c r="E2608"/>
      <c r="AA2608" s="4"/>
    </row>
    <row r="2609" spans="5:27">
      <c r="E2609"/>
      <c r="AA2609" s="4"/>
    </row>
    <row r="2610" spans="5:27">
      <c r="E2610"/>
      <c r="AA2610" s="4"/>
    </row>
    <row r="2611" spans="5:27">
      <c r="E2611"/>
      <c r="AA2611" s="4"/>
    </row>
    <row r="2612" spans="5:27">
      <c r="E2612"/>
      <c r="AA2612" s="4"/>
    </row>
    <row r="2613" spans="5:27">
      <c r="E2613"/>
      <c r="AA2613" s="4"/>
    </row>
    <row r="2614" spans="5:27">
      <c r="E2614"/>
      <c r="AA2614" s="4"/>
    </row>
    <row r="2615" spans="5:27">
      <c r="E2615"/>
      <c r="AA2615" s="4"/>
    </row>
    <row r="2616" spans="5:27">
      <c r="E2616"/>
      <c r="AA2616" s="4"/>
    </row>
    <row r="2617" spans="5:27">
      <c r="E2617"/>
      <c r="AA2617" s="4"/>
    </row>
    <row r="2618" spans="5:27">
      <c r="E2618"/>
      <c r="AA2618" s="4"/>
    </row>
    <row r="2619" spans="5:27">
      <c r="E2619"/>
      <c r="AA2619" s="4"/>
    </row>
    <row r="2620" spans="5:27">
      <c r="E2620"/>
      <c r="AA2620" s="4"/>
    </row>
    <row r="2621" spans="5:27">
      <c r="E2621"/>
      <c r="AA2621" s="4"/>
    </row>
    <row r="2622" spans="5:27">
      <c r="E2622"/>
      <c r="AA2622" s="4"/>
    </row>
    <row r="2623" spans="5:27">
      <c r="E2623"/>
      <c r="AA2623" s="4"/>
    </row>
    <row r="2624" spans="5:27">
      <c r="E2624"/>
      <c r="AA2624" s="4"/>
    </row>
    <row r="2625" spans="5:27">
      <c r="E2625"/>
      <c r="AA2625" s="4"/>
    </row>
    <row r="2626" spans="5:27">
      <c r="E2626"/>
      <c r="AA2626" s="4"/>
    </row>
    <row r="2627" spans="5:27">
      <c r="E2627"/>
      <c r="AA2627" s="4"/>
    </row>
    <row r="2628" spans="5:27">
      <c r="E2628"/>
      <c r="AA2628" s="4"/>
    </row>
    <row r="2629" spans="5:27">
      <c r="E2629"/>
      <c r="AA2629" s="4"/>
    </row>
    <row r="2630" spans="5:27">
      <c r="E2630"/>
      <c r="AA2630" s="4"/>
    </row>
    <row r="2631" spans="5:27">
      <c r="E2631"/>
      <c r="AA2631" s="4"/>
    </row>
    <row r="2632" spans="5:27">
      <c r="E2632"/>
      <c r="AA2632" s="4"/>
    </row>
    <row r="2633" spans="5:27">
      <c r="E2633"/>
      <c r="AA2633" s="4"/>
    </row>
    <row r="2634" spans="5:27">
      <c r="E2634"/>
      <c r="AA2634" s="4"/>
    </row>
    <row r="2635" spans="5:27">
      <c r="E2635"/>
      <c r="AA2635" s="4"/>
    </row>
    <row r="2636" spans="5:27">
      <c r="E2636"/>
      <c r="AA2636" s="4"/>
    </row>
    <row r="2637" spans="5:27">
      <c r="E2637"/>
      <c r="AA2637" s="4"/>
    </row>
    <row r="2638" spans="5:27">
      <c r="E2638"/>
      <c r="AA2638" s="4"/>
    </row>
    <row r="2639" spans="5:27">
      <c r="E2639"/>
      <c r="AA2639" s="4"/>
    </row>
    <row r="2640" spans="5:27">
      <c r="E2640"/>
      <c r="AA2640" s="4"/>
    </row>
    <row r="2641" spans="5:27">
      <c r="E2641"/>
      <c r="AA2641" s="4"/>
    </row>
    <row r="2642" spans="5:27">
      <c r="E2642"/>
      <c r="AA2642" s="4"/>
    </row>
    <row r="2643" spans="5:27">
      <c r="E2643"/>
      <c r="AA2643" s="4"/>
    </row>
    <row r="2644" spans="5:27">
      <c r="E2644"/>
      <c r="AA2644" s="4"/>
    </row>
    <row r="2645" spans="5:27">
      <c r="E2645"/>
      <c r="AA2645" s="4"/>
    </row>
    <row r="2646" spans="5:27">
      <c r="E2646"/>
      <c r="AA2646" s="4"/>
    </row>
    <row r="2647" spans="5:27">
      <c r="E2647"/>
      <c r="AA2647" s="4"/>
    </row>
    <row r="2648" spans="5:27">
      <c r="E2648"/>
      <c r="AA2648" s="4"/>
    </row>
    <row r="2649" spans="5:27">
      <c r="E2649"/>
      <c r="AA2649" s="4"/>
    </row>
    <row r="2650" spans="5:27">
      <c r="E2650"/>
      <c r="AA2650" s="4"/>
    </row>
    <row r="2651" spans="5:27">
      <c r="E2651"/>
      <c r="AA2651" s="4"/>
    </row>
    <row r="2652" spans="5:27">
      <c r="E2652"/>
      <c r="AA2652" s="4"/>
    </row>
    <row r="2653" spans="5:27">
      <c r="E2653"/>
      <c r="AA2653" s="4"/>
    </row>
    <row r="2654" spans="5:27">
      <c r="E2654"/>
      <c r="AA2654" s="4"/>
    </row>
    <row r="2655" spans="5:27">
      <c r="E2655"/>
      <c r="AA2655" s="4"/>
    </row>
    <row r="2656" spans="5:27">
      <c r="E2656"/>
      <c r="AA2656" s="4"/>
    </row>
    <row r="2657" spans="5:27">
      <c r="E2657"/>
      <c r="AA2657" s="4"/>
    </row>
    <row r="2658" spans="5:27">
      <c r="E2658"/>
      <c r="AA2658" s="4"/>
    </row>
    <row r="2659" spans="5:27">
      <c r="E2659"/>
      <c r="AA2659" s="4"/>
    </row>
    <row r="2660" spans="5:27">
      <c r="E2660"/>
      <c r="AA2660" s="4"/>
    </row>
    <row r="2661" spans="5:27">
      <c r="E2661"/>
      <c r="AA2661" s="4"/>
    </row>
    <row r="2662" spans="5:27">
      <c r="E2662"/>
      <c r="AA2662" s="4"/>
    </row>
    <row r="2663" spans="5:27">
      <c r="E2663"/>
      <c r="AA2663" s="4"/>
    </row>
    <row r="2664" spans="5:27">
      <c r="E2664"/>
      <c r="AA2664" s="4"/>
    </row>
    <row r="2665" spans="5:27">
      <c r="E2665"/>
      <c r="AA2665" s="4"/>
    </row>
    <row r="2666" spans="5:27">
      <c r="E2666"/>
      <c r="AA2666" s="4"/>
    </row>
    <row r="2667" spans="5:27">
      <c r="E2667"/>
      <c r="AA2667" s="4"/>
    </row>
    <row r="2668" spans="5:27">
      <c r="E2668"/>
      <c r="AA2668" s="4"/>
    </row>
    <row r="2669" spans="5:27">
      <c r="E2669"/>
      <c r="AA2669" s="4"/>
    </row>
    <row r="2670" spans="5:27">
      <c r="E2670"/>
      <c r="AA2670" s="4"/>
    </row>
    <row r="2671" spans="5:27">
      <c r="E2671"/>
      <c r="AA2671" s="4"/>
    </row>
    <row r="2672" spans="5:27">
      <c r="E2672"/>
      <c r="AA2672" s="4"/>
    </row>
    <row r="2673" spans="5:27">
      <c r="E2673"/>
      <c r="AA2673" s="4"/>
    </row>
    <row r="2674" spans="5:27">
      <c r="E2674"/>
      <c r="AA2674" s="4"/>
    </row>
    <row r="2675" spans="5:27">
      <c r="E2675"/>
      <c r="AA2675" s="4"/>
    </row>
    <row r="2676" spans="5:27">
      <c r="E2676"/>
      <c r="AA2676" s="4"/>
    </row>
    <row r="2677" spans="5:27">
      <c r="E2677"/>
      <c r="AA2677" s="4"/>
    </row>
    <row r="2678" spans="5:27">
      <c r="E2678"/>
      <c r="AA2678" s="4"/>
    </row>
    <row r="2679" spans="5:27">
      <c r="E2679"/>
      <c r="AA2679" s="4"/>
    </row>
    <row r="2680" spans="5:27">
      <c r="E2680"/>
      <c r="AA2680" s="4"/>
    </row>
    <row r="2681" spans="5:27">
      <c r="E2681"/>
      <c r="AA2681" s="4"/>
    </row>
    <row r="2682" spans="5:27">
      <c r="E2682"/>
      <c r="AA2682" s="4"/>
    </row>
    <row r="2683" spans="5:27">
      <c r="E2683"/>
      <c r="AA2683" s="4"/>
    </row>
    <row r="2684" spans="5:27">
      <c r="E2684"/>
      <c r="AA2684" s="4"/>
    </row>
    <row r="2685" spans="5:27">
      <c r="E2685"/>
      <c r="AA2685" s="4"/>
    </row>
    <row r="2686" spans="5:27">
      <c r="E2686"/>
      <c r="AA2686" s="4"/>
    </row>
    <row r="2687" spans="5:27">
      <c r="E2687"/>
      <c r="AA2687" s="4"/>
    </row>
    <row r="2688" spans="5:27">
      <c r="E2688"/>
      <c r="AA2688" s="4"/>
    </row>
    <row r="2689" spans="5:27">
      <c r="E2689"/>
      <c r="AA2689" s="4"/>
    </row>
    <row r="2690" spans="5:27">
      <c r="E2690"/>
      <c r="AA2690" s="4"/>
    </row>
    <row r="2691" spans="5:27">
      <c r="E2691"/>
      <c r="AA2691" s="4"/>
    </row>
    <row r="2692" spans="5:27">
      <c r="E2692"/>
      <c r="AA2692" s="4"/>
    </row>
    <row r="2693" spans="5:27">
      <c r="E2693"/>
      <c r="AA2693" s="4"/>
    </row>
    <row r="2694" spans="5:27">
      <c r="E2694"/>
      <c r="AA2694" s="4"/>
    </row>
    <row r="2695" spans="5:27">
      <c r="E2695"/>
      <c r="AA2695" s="4"/>
    </row>
    <row r="2696" spans="5:27">
      <c r="E2696"/>
      <c r="AA2696" s="4"/>
    </row>
    <row r="2697" spans="5:27">
      <c r="E2697"/>
      <c r="AA2697" s="4"/>
    </row>
    <row r="2698" spans="5:27">
      <c r="E2698"/>
      <c r="AA2698" s="4"/>
    </row>
    <row r="2699" spans="5:27">
      <c r="E2699"/>
      <c r="AA2699" s="4"/>
    </row>
    <row r="2700" spans="5:27">
      <c r="E2700"/>
      <c r="AA2700" s="4"/>
    </row>
    <row r="2701" spans="5:27">
      <c r="E2701"/>
      <c r="AA2701" s="4"/>
    </row>
    <row r="2702" spans="5:27">
      <c r="E2702"/>
      <c r="AA2702" s="4"/>
    </row>
    <row r="2703" spans="5:27">
      <c r="E2703"/>
      <c r="AA2703" s="4"/>
    </row>
    <row r="2704" spans="5:27">
      <c r="E2704"/>
      <c r="AA2704" s="4"/>
    </row>
    <row r="2705" spans="5:27">
      <c r="E2705"/>
      <c r="AA2705" s="4"/>
    </row>
    <row r="2706" spans="5:27">
      <c r="E2706"/>
      <c r="AA2706" s="4"/>
    </row>
    <row r="2707" spans="5:27">
      <c r="E2707"/>
      <c r="AA2707" s="4"/>
    </row>
    <row r="2708" spans="5:27">
      <c r="E2708"/>
      <c r="AA2708" s="4"/>
    </row>
    <row r="2709" spans="5:27">
      <c r="E2709"/>
      <c r="AA2709" s="4"/>
    </row>
    <row r="2710" spans="5:27">
      <c r="E2710"/>
      <c r="AA2710" s="4"/>
    </row>
    <row r="2711" spans="5:27">
      <c r="E2711"/>
      <c r="AA2711" s="4"/>
    </row>
    <row r="2712" spans="5:27">
      <c r="E2712"/>
      <c r="AA2712" s="4"/>
    </row>
    <row r="2713" spans="5:27">
      <c r="E2713"/>
      <c r="AA2713" s="4"/>
    </row>
    <row r="2714" spans="5:27">
      <c r="E2714"/>
      <c r="AA2714" s="4"/>
    </row>
    <row r="2715" spans="5:27">
      <c r="E2715"/>
      <c r="AA2715" s="4"/>
    </row>
    <row r="2716" spans="5:27">
      <c r="E2716"/>
      <c r="AA2716" s="4"/>
    </row>
    <row r="2717" spans="5:27">
      <c r="E2717"/>
      <c r="AA2717" s="4"/>
    </row>
    <row r="2718" spans="5:27">
      <c r="E2718"/>
      <c r="AA2718" s="4"/>
    </row>
    <row r="2719" spans="5:27">
      <c r="E2719"/>
      <c r="AA2719" s="4"/>
    </row>
    <row r="2720" spans="5:27">
      <c r="E2720"/>
      <c r="AA2720" s="4"/>
    </row>
    <row r="2721" spans="5:27">
      <c r="E2721"/>
      <c r="AA2721" s="4"/>
    </row>
    <row r="2722" spans="5:27">
      <c r="E2722"/>
      <c r="AA2722" s="4"/>
    </row>
    <row r="2723" spans="5:27">
      <c r="E2723"/>
      <c r="AA2723" s="4"/>
    </row>
    <row r="2724" spans="5:27">
      <c r="E2724"/>
      <c r="AA2724" s="4"/>
    </row>
    <row r="2725" spans="5:27">
      <c r="E2725"/>
      <c r="AA2725" s="4"/>
    </row>
    <row r="2726" spans="5:27">
      <c r="E2726"/>
      <c r="AA2726" s="4"/>
    </row>
    <row r="2727" spans="5:27">
      <c r="E2727"/>
      <c r="AA2727" s="4"/>
    </row>
    <row r="2728" spans="5:27">
      <c r="E2728"/>
      <c r="AA2728" s="4"/>
    </row>
    <row r="2729" spans="5:27">
      <c r="E2729"/>
      <c r="AA2729" s="4"/>
    </row>
    <row r="2730" spans="5:27">
      <c r="E2730"/>
      <c r="AA2730" s="4"/>
    </row>
    <row r="2731" spans="5:27">
      <c r="E2731"/>
      <c r="AA2731" s="4"/>
    </row>
    <row r="2732" spans="5:27">
      <c r="E2732"/>
      <c r="AA2732" s="4"/>
    </row>
    <row r="2733" spans="5:27">
      <c r="E2733"/>
      <c r="AA2733" s="4"/>
    </row>
    <row r="2734" spans="5:27">
      <c r="E2734"/>
      <c r="AA2734" s="4"/>
    </row>
    <row r="2735" spans="5:27">
      <c r="E2735"/>
      <c r="AA2735" s="4"/>
    </row>
    <row r="2736" spans="5:27">
      <c r="E2736"/>
      <c r="AA2736" s="4"/>
    </row>
    <row r="2737" spans="5:27">
      <c r="E2737"/>
      <c r="AA2737" s="4"/>
    </row>
    <row r="2738" spans="5:27">
      <c r="E2738"/>
      <c r="AA2738" s="4"/>
    </row>
    <row r="2739" spans="5:27">
      <c r="E2739"/>
      <c r="AA2739" s="4"/>
    </row>
    <row r="2740" spans="5:27">
      <c r="E2740"/>
      <c r="AA2740" s="4"/>
    </row>
    <row r="2741" spans="5:27">
      <c r="E2741"/>
      <c r="AA2741" s="4"/>
    </row>
    <row r="2742" spans="5:27">
      <c r="E2742"/>
      <c r="AA2742" s="4"/>
    </row>
    <row r="2743" spans="5:27">
      <c r="E2743"/>
      <c r="AA2743" s="4"/>
    </row>
    <row r="2744" spans="5:27">
      <c r="E2744"/>
      <c r="AA2744" s="4"/>
    </row>
    <row r="2745" spans="5:27">
      <c r="E2745"/>
      <c r="AA2745" s="4"/>
    </row>
    <row r="2746" spans="5:27">
      <c r="E2746"/>
      <c r="AA2746" s="4"/>
    </row>
    <row r="2747" spans="5:27">
      <c r="E2747"/>
      <c r="AA2747" s="4"/>
    </row>
    <row r="2748" spans="5:27">
      <c r="E2748"/>
      <c r="AA2748" s="4"/>
    </row>
    <row r="2749" spans="5:27">
      <c r="E2749"/>
      <c r="AA2749" s="4"/>
    </row>
    <row r="2750" spans="5:27">
      <c r="E2750"/>
      <c r="AA2750" s="4"/>
    </row>
    <row r="2751" spans="5:27">
      <c r="E2751"/>
      <c r="AA2751" s="4"/>
    </row>
    <row r="2752" spans="5:27">
      <c r="E2752"/>
      <c r="AA2752" s="4"/>
    </row>
    <row r="2753" spans="5:27">
      <c r="E2753"/>
      <c r="AA2753" s="4"/>
    </row>
    <row r="2754" spans="5:27">
      <c r="E2754"/>
      <c r="AA2754" s="4"/>
    </row>
    <row r="2755" spans="5:27">
      <c r="E2755"/>
      <c r="AA2755" s="4"/>
    </row>
    <row r="2756" spans="5:27">
      <c r="E2756"/>
      <c r="AA2756" s="4"/>
    </row>
    <row r="2757" spans="5:27">
      <c r="E2757"/>
      <c r="AA2757" s="4"/>
    </row>
    <row r="2758" spans="5:27">
      <c r="E2758"/>
      <c r="AA2758" s="4"/>
    </row>
    <row r="2759" spans="5:27">
      <c r="E2759"/>
      <c r="AA2759" s="4"/>
    </row>
    <row r="2760" spans="5:27">
      <c r="E2760"/>
      <c r="AA2760" s="4"/>
    </row>
    <row r="2761" spans="5:27">
      <c r="E2761"/>
      <c r="AA2761" s="4"/>
    </row>
    <row r="2762" spans="5:27">
      <c r="E2762"/>
      <c r="AA2762" s="4"/>
    </row>
    <row r="2763" spans="5:27">
      <c r="E2763"/>
      <c r="AA2763" s="4"/>
    </row>
    <row r="2764" spans="5:27">
      <c r="E2764"/>
      <c r="AA2764" s="4"/>
    </row>
    <row r="2765" spans="5:27">
      <c r="E2765"/>
      <c r="AA2765" s="4"/>
    </row>
    <row r="2766" spans="5:27">
      <c r="E2766"/>
      <c r="AA2766" s="4"/>
    </row>
    <row r="2767" spans="5:27">
      <c r="E2767"/>
      <c r="AA2767" s="4"/>
    </row>
    <row r="2768" spans="5:27">
      <c r="E2768"/>
      <c r="AA2768" s="4"/>
    </row>
    <row r="2769" spans="5:27">
      <c r="E2769"/>
      <c r="AA2769" s="4"/>
    </row>
    <row r="2770" spans="5:27">
      <c r="E2770"/>
      <c r="AA2770" s="4"/>
    </row>
    <row r="2771" spans="5:27">
      <c r="E2771"/>
      <c r="AA2771" s="4"/>
    </row>
    <row r="2772" spans="5:27">
      <c r="E2772"/>
      <c r="AA2772" s="4"/>
    </row>
    <row r="2773" spans="5:27">
      <c r="E2773"/>
      <c r="AA2773" s="4"/>
    </row>
    <row r="2774" spans="5:27">
      <c r="E2774"/>
      <c r="AA2774" s="4"/>
    </row>
    <row r="2775" spans="5:27">
      <c r="E2775"/>
      <c r="AA2775" s="4"/>
    </row>
    <row r="2776" spans="5:27">
      <c r="E2776"/>
      <c r="AA2776" s="4"/>
    </row>
    <row r="2777" spans="5:27">
      <c r="E2777"/>
      <c r="AA2777" s="4"/>
    </row>
    <row r="2778" spans="5:27">
      <c r="E2778"/>
      <c r="AA2778" s="4"/>
    </row>
    <row r="2779" spans="5:27">
      <c r="E2779"/>
      <c r="AA2779" s="4"/>
    </row>
    <row r="2780" spans="5:27">
      <c r="E2780"/>
      <c r="AA2780" s="4"/>
    </row>
    <row r="2781" spans="5:27">
      <c r="E2781"/>
      <c r="AA2781" s="4"/>
    </row>
    <row r="2782" spans="5:27">
      <c r="E2782"/>
      <c r="AA2782" s="4"/>
    </row>
    <row r="2783" spans="5:27">
      <c r="E2783"/>
      <c r="AA2783" s="4"/>
    </row>
    <row r="2784" spans="5:27">
      <c r="E2784"/>
      <c r="AA2784" s="4"/>
    </row>
    <row r="2785" spans="5:27">
      <c r="E2785"/>
      <c r="AA2785" s="4"/>
    </row>
    <row r="2786" spans="5:27">
      <c r="E2786"/>
      <c r="AA2786" s="4"/>
    </row>
    <row r="2787" spans="5:27">
      <c r="E2787"/>
      <c r="AA2787" s="4"/>
    </row>
    <row r="2788" spans="5:27">
      <c r="E2788"/>
      <c r="AA2788" s="4"/>
    </row>
    <row r="2789" spans="5:27">
      <c r="E2789"/>
      <c r="AA2789" s="4"/>
    </row>
    <row r="2790" spans="5:27">
      <c r="E2790"/>
      <c r="AA2790" s="4"/>
    </row>
    <row r="2791" spans="5:27">
      <c r="E2791"/>
      <c r="AA2791" s="4"/>
    </row>
    <row r="2792" spans="5:27">
      <c r="E2792"/>
      <c r="AA2792" s="4"/>
    </row>
    <row r="2793" spans="5:27">
      <c r="E2793"/>
      <c r="AA2793" s="4"/>
    </row>
    <row r="2794" spans="5:27">
      <c r="E2794"/>
      <c r="AA2794" s="4"/>
    </row>
    <row r="2795" spans="5:27">
      <c r="E2795"/>
      <c r="AA2795" s="4"/>
    </row>
    <row r="2796" spans="5:27">
      <c r="E2796"/>
      <c r="AA2796" s="4"/>
    </row>
    <row r="2797" spans="5:27">
      <c r="E2797"/>
      <c r="AA2797" s="4"/>
    </row>
    <row r="2798" spans="5:27">
      <c r="E2798"/>
      <c r="AA2798" s="4"/>
    </row>
    <row r="2799" spans="5:27">
      <c r="E2799"/>
      <c r="AA2799" s="4"/>
    </row>
    <row r="2800" spans="5:27">
      <c r="E2800"/>
      <c r="AA2800" s="4"/>
    </row>
    <row r="2801" spans="5:27">
      <c r="E2801"/>
      <c r="AA2801" s="4"/>
    </row>
    <row r="2802" spans="5:27">
      <c r="E2802"/>
      <c r="AA2802" s="4"/>
    </row>
    <row r="2803" spans="5:27">
      <c r="E2803"/>
      <c r="AA2803" s="4"/>
    </row>
    <row r="2804" spans="5:27">
      <c r="E2804"/>
      <c r="AA2804" s="4"/>
    </row>
    <row r="2805" spans="5:27">
      <c r="E2805"/>
      <c r="AA2805" s="4"/>
    </row>
    <row r="2806" spans="5:27">
      <c r="E2806"/>
      <c r="AA2806" s="4"/>
    </row>
    <row r="2807" spans="5:27">
      <c r="E2807"/>
      <c r="AA2807" s="4"/>
    </row>
    <row r="2808" spans="5:27">
      <c r="E2808"/>
      <c r="AA2808" s="4"/>
    </row>
    <row r="2809" spans="5:27">
      <c r="E2809"/>
      <c r="AA2809" s="4"/>
    </row>
    <row r="2810" spans="5:27">
      <c r="E2810"/>
      <c r="AA2810" s="4"/>
    </row>
    <row r="2811" spans="5:27">
      <c r="E2811"/>
      <c r="AA2811" s="4"/>
    </row>
    <row r="2812" spans="5:27">
      <c r="E2812"/>
      <c r="AA2812" s="4"/>
    </row>
    <row r="2813" spans="5:27">
      <c r="E2813"/>
      <c r="AA2813" s="4"/>
    </row>
    <row r="2814" spans="5:27">
      <c r="E2814"/>
      <c r="AA2814" s="4"/>
    </row>
    <row r="2815" spans="5:27">
      <c r="E2815"/>
      <c r="AA2815" s="4"/>
    </row>
    <row r="2816" spans="5:27">
      <c r="E2816"/>
      <c r="AA2816" s="4"/>
    </row>
    <row r="2817" spans="5:27">
      <c r="E2817"/>
      <c r="AA2817" s="4"/>
    </row>
    <row r="2818" spans="5:27">
      <c r="E2818"/>
      <c r="AA2818" s="4"/>
    </row>
    <row r="2819" spans="5:27">
      <c r="E2819"/>
      <c r="AA2819" s="4"/>
    </row>
    <row r="2820" spans="5:27">
      <c r="E2820"/>
      <c r="AA2820" s="4"/>
    </row>
    <row r="2821" spans="5:27">
      <c r="E2821"/>
      <c r="AA2821" s="4"/>
    </row>
    <row r="2822" spans="5:27">
      <c r="E2822"/>
      <c r="AA2822" s="4"/>
    </row>
    <row r="2823" spans="5:27">
      <c r="E2823"/>
      <c r="AA2823" s="4"/>
    </row>
    <row r="2824" spans="5:27">
      <c r="E2824"/>
      <c r="AA2824" s="4"/>
    </row>
  </sheetData>
  <autoFilter ref="A1:Z308" xr:uid="{F5E98471-DA90-479B-9CD7-D9225A426A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Janhavi Gajjar</cp:lastModifiedBy>
  <cp:revision/>
  <dcterms:created xsi:type="dcterms:W3CDTF">2025-12-15T18:51:29Z</dcterms:created>
  <dcterms:modified xsi:type="dcterms:W3CDTF">2025-12-15T20:10:01Z</dcterms:modified>
  <cp:category/>
  <cp:contentStatus/>
</cp:coreProperties>
</file>